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5"/>
  </bookViews>
  <sheets>
    <sheet name="总逻辑" sheetId="7" r:id="rId1"/>
    <sheet name="入库管理" sheetId="3" r:id="rId2"/>
    <sheet name="二次出库" sheetId="15" r:id="rId3"/>
    <sheet name="货物毁损记录" sheetId="19" r:id="rId4"/>
    <sheet name="订单调整单" sheetId="1" r:id="rId5"/>
    <sheet name="票点" sheetId="2" r:id="rId6"/>
    <sheet name="收款" sheetId="4" r:id="rId7"/>
    <sheet name="付款" sheetId="5" r:id="rId8"/>
    <sheet name="冲抵款" sheetId="10" r:id="rId9"/>
    <sheet name="供应商返利" sheetId="18" r:id="rId10"/>
    <sheet name="平账" sheetId="11" r:id="rId11"/>
    <sheet name="借入款管理" sheetId="12" r:id="rId12"/>
    <sheet name="员工或公司从我司借款" sheetId="13" r:id="rId13"/>
    <sheet name="期货保证金" sheetId="14" r:id="rId14"/>
    <sheet name="厂家保证金" sheetId="16" r:id="rId15"/>
    <sheet name="收取保证金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93D1BDB5B52421AB2012D14E6A925D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9240" y="5534660"/>
          <a:ext cx="14393545" cy="3195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0B8C89DE85A41CAA7EDF2EDD4559D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42360" y="5521325"/>
          <a:ext cx="17232630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198608090F94BD49E67FD22C8076FB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84020" y="5861050"/>
          <a:ext cx="22774275" cy="470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A28CD52F4BA4847AF2AF8729E54B9F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02685" y="5839460"/>
          <a:ext cx="19223990" cy="5134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70036419252402EAF57F9DAFDD07E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19500" y="7376795"/>
          <a:ext cx="23336250" cy="4476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<sst xmlns="http://schemas.openxmlformats.org/spreadsheetml/2006/main" count="1267" uniqueCount="479">
  <si>
    <t>项目</t>
  </si>
  <si>
    <t>金额</t>
  </si>
  <si>
    <t>资金总额=⓪+①+②-③-④+⑤+⑥+⑦-⑧-⑨</t>
  </si>
  <si>
    <t>⓪+①+②-③-④+⑤+⑥+⑦-⑧-⑨</t>
  </si>
  <si>
    <t>⓪库存金额变动</t>
  </si>
  <si>
    <t>入库管理库存变动差额-二次出库库存变动金额-订单库存变动差额-存货毁损变动差额</t>
  </si>
  <si>
    <t>①客户欠款变动</t>
  </si>
  <si>
    <t>订单调整单客户变动差额+票点客户变动差额-收款客户变动差额+付款客户变动差额-冲抵款客户变动差额-平账客户变动差额</t>
  </si>
  <si>
    <t>②所有银行卡资金变动</t>
  </si>
  <si>
    <t>收款银行卡资金变动差额-付款银行卡资金变动差额+借入款银行卡资金变动-从我司借款银行卡资金变动-期货保证金银行卡资金变动-厂家保证金银行卡资金变动+收取保证金银行卡资金变动</t>
  </si>
  <si>
    <t>③欠厂家货款变动</t>
  </si>
  <si>
    <t>入库管理供应商变动差额+订单调整单供应商变动差额+票点供应商变动差额+收款供应商变动差额-付款客户变动差额-冲抵款供应商变动差额-平账供应商变动差额-返利供应商变动差额</t>
  </si>
  <si>
    <t>④未支付运费变动</t>
  </si>
  <si>
    <t>入库运费变动差额+订单运费变动差额-付款运费变动差额-冲抵款运费变动差额</t>
  </si>
  <si>
    <t>⑤其他应收-个人/公司从公司借款变动</t>
  </si>
  <si>
    <t>从我司借款银行卡资金变动</t>
  </si>
  <si>
    <t>⑥期货保证金变动</t>
  </si>
  <si>
    <t>期货保证金变动</t>
  </si>
  <si>
    <t>⑦厂家保证金变动</t>
  </si>
  <si>
    <t>厂家保证金变动</t>
  </si>
  <si>
    <t>⑧收取保证金变动</t>
  </si>
  <si>
    <t>收取保证金变动</t>
  </si>
  <si>
    <t>⑨公司从外面借款变动</t>
  </si>
  <si>
    <t>公司从外面借款变动</t>
  </si>
  <si>
    <t>状态</t>
  </si>
  <si>
    <t>入库时间</t>
  </si>
  <si>
    <t>仓库</t>
  </si>
  <si>
    <t>陆运车牌</t>
  </si>
  <si>
    <t>海运柜号</t>
  </si>
  <si>
    <t>海运公司</t>
  </si>
  <si>
    <t>供应商</t>
  </si>
  <si>
    <t>级别名称</t>
  </si>
  <si>
    <t>计量单位</t>
  </si>
  <si>
    <t>厚度</t>
  </si>
  <si>
    <t>长度</t>
  </si>
  <si>
    <t>宽度</t>
  </si>
  <si>
    <t>每包片数</t>
  </si>
  <si>
    <t>包数</t>
  </si>
  <si>
    <t>出厂片数</t>
  </si>
  <si>
    <t>出厂单价</t>
  </si>
  <si>
    <t>出厂是否含税</t>
  </si>
  <si>
    <t>杂费</t>
  </si>
  <si>
    <t>出厂货款</t>
  </si>
  <si>
    <r>
      <rPr>
        <b/>
        <sz val="10"/>
        <rFont val="宋体"/>
        <charset val="134"/>
      </rPr>
      <t>库存量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片数</t>
    </r>
    <r>
      <rPr>
        <b/>
        <sz val="10"/>
        <rFont val="Arial"/>
        <charset val="134"/>
      </rPr>
      <t>)</t>
    </r>
  </si>
  <si>
    <t>卸货价</t>
  </si>
  <si>
    <t>库存是否含税</t>
  </si>
  <si>
    <t>库存金额</t>
  </si>
  <si>
    <t>误差</t>
  </si>
  <si>
    <t>吨位</t>
  </si>
  <si>
    <t>陆运费单价</t>
  </si>
  <si>
    <t>加费</t>
  </si>
  <si>
    <t>陆运费</t>
  </si>
  <si>
    <t>海运费</t>
  </si>
  <si>
    <t>总运费</t>
  </si>
  <si>
    <t>其他费用</t>
  </si>
  <si>
    <t>利润</t>
  </si>
  <si>
    <t>不含税利润</t>
  </si>
  <si>
    <t>录入员</t>
  </si>
  <si>
    <t>车队</t>
  </si>
  <si>
    <t>备注</t>
  </si>
  <si>
    <t>其他信息</t>
  </si>
  <si>
    <t>物流利润</t>
  </si>
  <si>
    <t>客户佣金</t>
  </si>
  <si>
    <t>厂家佣金</t>
  </si>
  <si>
    <t>厂家返利金额</t>
  </si>
  <si>
    <t>厂家降价金额</t>
  </si>
  <si>
    <t>入库单（1）</t>
  </si>
  <si>
    <t>修改前</t>
  </si>
  <si>
    <t>2026-01-28</t>
  </si>
  <si>
    <t>刘彦波仓库</t>
  </si>
  <si>
    <t>冀EV2968</t>
  </si>
  <si>
    <t/>
  </si>
  <si>
    <t>卓航玻璃</t>
  </si>
  <si>
    <t>中玻超白汽车级</t>
  </si>
  <si>
    <t>片</t>
  </si>
  <si>
    <t>否</t>
  </si>
  <si>
    <t>不含税</t>
  </si>
  <si>
    <t>4493.02</t>
  </si>
  <si>
    <t>吴雪迪</t>
  </si>
  <si>
    <t>客户自提</t>
  </si>
  <si>
    <t>修改后</t>
  </si>
  <si>
    <t>湖北三峡欧洲灰原片优等品</t>
  </si>
  <si>
    <t>4509.16</t>
  </si>
  <si>
    <t>安彩超白汽车级</t>
  </si>
  <si>
    <t>4822.42</t>
  </si>
  <si>
    <t>-</t>
  </si>
  <si>
    <t>武立强/武世忠</t>
  </si>
  <si>
    <t>内蒙古玉晶一等品</t>
  </si>
  <si>
    <t>3795.42</t>
  </si>
  <si>
    <t>差额</t>
  </si>
  <si>
    <t>合计</t>
  </si>
  <si>
    <t>入库管理库存变动差额</t>
  </si>
  <si>
    <t>入库管理供应商变动差额</t>
  </si>
  <si>
    <t>入库管理运费变动差额</t>
  </si>
  <si>
    <t>二次入库状态</t>
  </si>
  <si>
    <t>仓库名称</t>
  </si>
  <si>
    <t>出库方向</t>
  </si>
  <si>
    <t>变动日期(出库)</t>
  </si>
  <si>
    <t>产品级别</t>
  </si>
  <si>
    <t>出库量</t>
  </si>
  <si>
    <t>存货价</t>
  </si>
  <si>
    <t>原库存金额</t>
  </si>
  <si>
    <t>二次出库（1）</t>
  </si>
  <si>
    <t>已入库</t>
  </si>
  <si>
    <t>二次入库出库</t>
  </si>
  <si>
    <t>二次出库（2）</t>
  </si>
  <si>
    <t>二次出库库存变动差额</t>
  </si>
  <si>
    <t>毁损金额</t>
  </si>
  <si>
    <t>货物毁损（1）</t>
  </si>
  <si>
    <t>李志鹏仓库</t>
  </si>
  <si>
    <t>存货毁损</t>
  </si>
  <si>
    <t>福建龙泰福特蓝镀膜优等品</t>
  </si>
  <si>
    <t>货物毁损（2）</t>
  </si>
  <si>
    <t>存货毁损变动差额</t>
  </si>
  <si>
    <t>订单日期</t>
  </si>
  <si>
    <t>客户</t>
  </si>
  <si>
    <t>车牌</t>
  </si>
  <si>
    <t>卸货片数</t>
  </si>
  <si>
    <t>销售是否含税</t>
  </si>
  <si>
    <t>总货款杂费</t>
  </si>
  <si>
    <t>总货款</t>
  </si>
  <si>
    <t>销售经理</t>
  </si>
  <si>
    <t>计提厂家返利金额</t>
  </si>
  <si>
    <t>计提厂家降价金额</t>
  </si>
  <si>
    <t>订单信息（1）</t>
  </si>
  <si>
    <t>2026-01-20</t>
  </si>
  <si>
    <t>陕西世纪乾峰玻璃科技公司</t>
  </si>
  <si>
    <t>陕KG6796</t>
  </si>
  <si>
    <t>兰州汇川玻璃有限公司</t>
  </si>
  <si>
    <t>成都南玻欧灰优等品</t>
  </si>
  <si>
    <t>片数</t>
  </si>
  <si>
    <t>是</t>
  </si>
  <si>
    <t>郭龙</t>
  </si>
  <si>
    <t>汇达物流</t>
  </si>
  <si>
    <t>汇达派车不减信息费</t>
  </si>
  <si>
    <t>李延红</t>
  </si>
  <si>
    <t>订单信息（2）</t>
  </si>
  <si>
    <t>2025-12-28</t>
  </si>
  <si>
    <t>寿光昱源玻璃</t>
  </si>
  <si>
    <t>辽K2A542</t>
  </si>
  <si>
    <t>本溪玉晶-鲁运</t>
  </si>
  <si>
    <t>本溪玉晶一等品</t>
  </si>
  <si>
    <t>张蕊</t>
  </si>
  <si>
    <t>吉泰</t>
  </si>
  <si>
    <t>本溪玉晶-鼎亮</t>
  </si>
  <si>
    <t>订单信息（3）</t>
  </si>
  <si>
    <t>2026-01-16</t>
  </si>
  <si>
    <t>昌乐旭睿</t>
  </si>
  <si>
    <t>鲁KA5917</t>
  </si>
  <si>
    <t>威海中玻厂库</t>
  </si>
  <si>
    <t>威海中玻福特蓝镀膜合格品</t>
  </si>
  <si>
    <t>王英含</t>
  </si>
  <si>
    <t>张涛</t>
  </si>
  <si>
    <t>出厂少3片，实际出厂少1片，给司机一片，咱们一片</t>
  </si>
  <si>
    <t>叶丽萍</t>
  </si>
  <si>
    <t>订单客户变动差额</t>
  </si>
  <si>
    <t>订单供应商变动差额</t>
  </si>
  <si>
    <t>订单库存变动差额</t>
  </si>
  <si>
    <t>订单运费变动差额</t>
  </si>
  <si>
    <t>订单1修改前</t>
  </si>
  <si>
    <t>订单1修改后</t>
  </si>
  <si>
    <t>修改内容</t>
  </si>
  <si>
    <t>修改一条，删除一条</t>
  </si>
  <si>
    <t>订单2修改前</t>
  </si>
  <si>
    <t>订单2修改后</t>
  </si>
  <si>
    <t>两条修改供应商，新增一条</t>
  </si>
  <si>
    <t>订单3修改前</t>
  </si>
  <si>
    <t>订单3修改后</t>
  </si>
  <si>
    <t>出库片数变动</t>
  </si>
  <si>
    <t xml:space="preserve"> </t>
  </si>
  <si>
    <t>开票日期</t>
  </si>
  <si>
    <t>我方主体</t>
  </si>
  <si>
    <t>发票金额</t>
  </si>
  <si>
    <t>公司类型</t>
  </si>
  <si>
    <t>公司名称</t>
  </si>
  <si>
    <t>开票单位名称</t>
  </si>
  <si>
    <t>票点</t>
  </si>
  <si>
    <t>票点收入</t>
  </si>
  <si>
    <t>是否为订单税</t>
  </si>
  <si>
    <t>票点成本</t>
  </si>
  <si>
    <t>票点差额</t>
  </si>
  <si>
    <t>实际开票金额</t>
  </si>
  <si>
    <t>实际开票日期</t>
  </si>
  <si>
    <t>当月欠票</t>
  </si>
  <si>
    <t>发票往来（1）</t>
  </si>
  <si>
    <t>沙河世辉</t>
  </si>
  <si>
    <t>贵阳中新玻璃销售有限公司</t>
  </si>
  <si>
    <t>发票往来（2）</t>
  </si>
  <si>
    <t>2026-01-29</t>
  </si>
  <si>
    <t>龙通</t>
  </si>
  <si>
    <t>临沭胜金玻璃</t>
  </si>
  <si>
    <t>临沭盛金钢化玻璃有限公司</t>
  </si>
  <si>
    <t>发票往来（3）</t>
  </si>
  <si>
    <t>潍坊盛辉玻璃公司</t>
  </si>
  <si>
    <t>潍坊锐易达新材料科技有限公司</t>
  </si>
  <si>
    <t>天津森强建材贸易有限公司</t>
  </si>
  <si>
    <t>按照票点总台账的归纳方法展示修改前和修改后数据</t>
  </si>
  <si>
    <t>新增默认原来票点收入和票点成本是0</t>
  </si>
  <si>
    <t>删除默认现在的票点收入和票点成本是0</t>
  </si>
  <si>
    <t>这里需要合并一下</t>
  </si>
  <si>
    <t>修改前客户（票点收入-票点成本）</t>
  </si>
  <si>
    <t>修改后客户（票点收入-票点成本）</t>
  </si>
  <si>
    <t>票点客户变动差额</t>
  </si>
  <si>
    <t>修改前供应商（票点成本-票点收入）</t>
  </si>
  <si>
    <t>修改后供应商（票点成本-票点收入）</t>
  </si>
  <si>
    <t>票点供应商变动差额</t>
  </si>
  <si>
    <t>日期</t>
  </si>
  <si>
    <t>支付类型</t>
  </si>
  <si>
    <t>对方公司</t>
  </si>
  <si>
    <t>对方公司类型</t>
  </si>
  <si>
    <t>己方户名</t>
  </si>
  <si>
    <t>己方账号</t>
  </si>
  <si>
    <t>己方开户行</t>
  </si>
  <si>
    <t>对方户名</t>
  </si>
  <si>
    <t>对方账号</t>
  </si>
  <si>
    <t>对方开户行</t>
  </si>
  <si>
    <t>收款信息（1）</t>
  </si>
  <si>
    <t>2026-01-28T09:13:18</t>
  </si>
  <si>
    <t>资产-应收账款-客户往来</t>
  </si>
  <si>
    <t>山东兖州辰明玻璃科技公司</t>
  </si>
  <si>
    <t>张娟娟-兴业银行</t>
  </si>
  <si>
    <t>622908573152802617</t>
  </si>
  <si>
    <t>兴业银行邢台沙河支行</t>
  </si>
  <si>
    <t>张庆凯</t>
  </si>
  <si>
    <t>622180******6532</t>
  </si>
  <si>
    <t>收款信息（2）</t>
  </si>
  <si>
    <t>2025-11-09T17:45:58</t>
  </si>
  <si>
    <t>未知客户</t>
  </si>
  <si>
    <t>沙河市智科商贸店</t>
  </si>
  <si>
    <t>241216010152</t>
  </si>
  <si>
    <t>银行二维码</t>
  </si>
  <si>
    <t>微信/二维码</t>
  </si>
  <si>
    <t>收款信息（3）</t>
  </si>
  <si>
    <t>2026-01-29T10:06:59</t>
  </si>
  <si>
    <t>章丘明龙</t>
  </si>
  <si>
    <t>山东龙通玻璃有限公司-农行</t>
  </si>
  <si>
    <t>15766001040047807</t>
  </si>
  <si>
    <t>中国农业银行股份有限公司德州经济技术开发区支行</t>
  </si>
  <si>
    <t>济南明德玻璃科技有限公司</t>
  </si>
  <si>
    <t>1602004109200207067</t>
  </si>
  <si>
    <t>收款信息（4）</t>
  </si>
  <si>
    <t>2026-01-29T10:04:09</t>
  </si>
  <si>
    <t>负债-应付账款-其他支出</t>
  </si>
  <si>
    <t>孙梅-建行</t>
  </si>
  <si>
    <t>6236680120002598701</t>
  </si>
  <si>
    <t>河北省邢台市沙河市分行</t>
  </si>
  <si>
    <t>*矿朝</t>
  </si>
  <si>
    <t>6228***7560</t>
  </si>
  <si>
    <t>收款信息（5）</t>
  </si>
  <si>
    <t>2025-12-22T22:07:22</t>
  </si>
  <si>
    <t>日常费用-财务费用-利息（银行结息等）</t>
  </si>
  <si>
    <t>支付费用</t>
  </si>
  <si>
    <t>山东翔飞玻璃有限公司-工行</t>
  </si>
  <si>
    <t>1612008019200320030</t>
  </si>
  <si>
    <t>工行德州分行</t>
  </si>
  <si>
    <t>翔飞工行开具承兑100万，2025-6-20至2025-12-20到期，存款利率1%，存款利息5002.78元已到账</t>
  </si>
  <si>
    <t>收款银行卡资金变动差额</t>
  </si>
  <si>
    <t>收款客户变动差额</t>
  </si>
  <si>
    <t>修改后对方公司类型是客户的金额-修改前对方公司类型是客户的金额</t>
  </si>
  <si>
    <t>收款供应商变动差额</t>
  </si>
  <si>
    <t>修改后对方公司类型是供应商的金额-修改前对方公司类型是供应商的金额</t>
  </si>
  <si>
    <t>付款信息（1）</t>
  </si>
  <si>
    <t>负债-应付账款-供应商往来</t>
  </si>
  <si>
    <t>科耀/赵越</t>
  </si>
  <si>
    <t>张长勇-德州银行</t>
  </si>
  <si>
    <t>6229370100008135948</t>
  </si>
  <si>
    <t>德州银行股份有限公司东方红支行</t>
  </si>
  <si>
    <t>赵学领</t>
  </si>
  <si>
    <t>6236680120003051478</t>
  </si>
  <si>
    <t>付款信息（2）</t>
  </si>
  <si>
    <t>姚志和/马延军</t>
  </si>
  <si>
    <t>冯苏平</t>
  </si>
  <si>
    <t>6214220701201019120</t>
  </si>
  <si>
    <t>付款信息（3）</t>
  </si>
  <si>
    <t>日常费用-财务费用-手续费（年费，网银费用等）</t>
  </si>
  <si>
    <t>山东龙通玻璃有限公司-邮政</t>
  </si>
  <si>
    <t>937140013000403742</t>
  </si>
  <si>
    <t>中国邮政储蓄银行德州市分行</t>
  </si>
  <si>
    <t>证书费</t>
  </si>
  <si>
    <t>付款信息（4）</t>
  </si>
  <si>
    <t>尉氏金耀玻璃</t>
  </si>
  <si>
    <t>山东广聚盛通玻璃有限公司-工行</t>
  </si>
  <si>
    <t>1612008019200351971</t>
  </si>
  <si>
    <t>河南东昊玻璃有限公司</t>
  </si>
  <si>
    <t>603110101421000251</t>
  </si>
  <si>
    <t>付款信息（5）</t>
  </si>
  <si>
    <t>2026-01-30</t>
  </si>
  <si>
    <t>负债-应付账款-运费</t>
  </si>
  <si>
    <t>秦海岭</t>
  </si>
  <si>
    <t>运费聚合</t>
  </si>
  <si>
    <t>孙梅-农行</t>
  </si>
  <si>
    <t>6228481259193023075</t>
  </si>
  <si>
    <t>河北省邢台市沙河金百家支行</t>
  </si>
  <si>
    <t>崔燕伟</t>
  </si>
  <si>
    <t>6228481729187899573</t>
  </si>
  <si>
    <t>付款信息（6）</t>
  </si>
  <si>
    <t>运费的新增删除</t>
  </si>
  <si>
    <t>付款银行卡资金变动差额</t>
  </si>
  <si>
    <t>付款客户变动差额</t>
  </si>
  <si>
    <t>付款供应商变动差额</t>
  </si>
  <si>
    <t>付款运费变动差额</t>
  </si>
  <si>
    <t>修改后对方公司类型是运费聚合的金额-修改前对方公司类型是运费聚合的金额</t>
  </si>
  <si>
    <t>交易时间</t>
  </si>
  <si>
    <t>支出方</t>
  </si>
  <si>
    <t>收入方</t>
  </si>
  <si>
    <t>支付户名</t>
  </si>
  <si>
    <t>支付账号</t>
  </si>
  <si>
    <t>支出方开户行</t>
  </si>
  <si>
    <t>收款户名</t>
  </si>
  <si>
    <t>收款账号</t>
  </si>
  <si>
    <t>收入方开户行</t>
  </si>
  <si>
    <t>支出方支付类型</t>
  </si>
  <si>
    <t>支出方公司类型</t>
  </si>
  <si>
    <t>收入方支付类型</t>
  </si>
  <si>
    <t>收入方公司类型</t>
  </si>
  <si>
    <t>冲抵类型</t>
  </si>
  <si>
    <t>账户类型</t>
  </si>
  <si>
    <t>操作人员姓名</t>
  </si>
  <si>
    <t>冲抵款信息（1）</t>
  </si>
  <si>
    <t>青岛远必达玻璃科技有限公司-北京银行人民币户</t>
  </si>
  <si>
    <t>郭龙-德州银行</t>
  </si>
  <si>
    <t>20000087544500141500278</t>
  </si>
  <si>
    <t>6229370100008440215</t>
  </si>
  <si>
    <t>内部往来支出</t>
  </si>
  <si>
    <t>己方公司</t>
  </si>
  <si>
    <t>内部往来收入</t>
  </si>
  <si>
    <t>内部转账</t>
  </si>
  <si>
    <t>银行活期存款</t>
  </si>
  <si>
    <t>王吉宏</t>
  </si>
  <si>
    <t>冲抵款信息（2）</t>
  </si>
  <si>
    <t>15433401040007376</t>
  </si>
  <si>
    <t>沙河市轩耀玻璃经营部(个体工商户)</t>
  </si>
  <si>
    <t>0406329809300082982</t>
  </si>
  <si>
    <t>潍坊盛辉转森强</t>
  </si>
  <si>
    <t>蔡丹丹</t>
  </si>
  <si>
    <t>冲抵款信息（3）</t>
  </si>
  <si>
    <t>2026-01-06</t>
  </si>
  <si>
    <t>福建龙泰-昊顺保证金</t>
  </si>
  <si>
    <t>福建龙泰（昊顺）</t>
  </si>
  <si>
    <t>福建龙泰-昊顺保证金转为货款</t>
  </si>
  <si>
    <t>刘振龙</t>
  </si>
  <si>
    <t>冲抵款信息（4）</t>
  </si>
  <si>
    <t>2025-11-25</t>
  </si>
  <si>
    <t>烟台鑫旺</t>
  </si>
  <si>
    <t>上海辰卉玻璃制品有限公司</t>
  </si>
  <si>
    <t>张庆娟</t>
  </si>
  <si>
    <t>4367***4222</t>
  </si>
  <si>
    <t>缪惠强</t>
  </si>
  <si>
    <t>6217920160698721</t>
  </si>
  <si>
    <t>资产-应收账款-其他收入</t>
  </si>
  <si>
    <t>烟台鑫旺退上海辰卉</t>
  </si>
  <si>
    <t>冲抵款信息（5）</t>
  </si>
  <si>
    <t>2026-02-10</t>
  </si>
  <si>
    <t>洛阳市田总</t>
  </si>
  <si>
    <t>濮阳市鑫众运输有限公司</t>
  </si>
  <si>
    <t>16453601040005974</t>
  </si>
  <si>
    <t>超级管理员</t>
  </si>
  <si>
    <t>冲抵款信息（6）</t>
  </si>
  <si>
    <t>修改前支出方公司类型为客户的金额-收入方公司类型为客户的金额</t>
  </si>
  <si>
    <t>修改后支出方公司类型为客户的金额-收入方公司类型为客户的金额</t>
  </si>
  <si>
    <t>冲抵款客户变动差额</t>
  </si>
  <si>
    <t>修改前收入方公司类型为供应商的金额-支出方方公司类型为供应商的金额</t>
  </si>
  <si>
    <t>修改后收入方公司类型为供应商的金额-支出方方公司类型为供应商的金额</t>
  </si>
  <si>
    <t>冲抵款供应商变动差额</t>
  </si>
  <si>
    <t>冲抵款运费变动差额</t>
  </si>
  <si>
    <t>修改后-修改前</t>
  </si>
  <si>
    <t>计提返利日期</t>
  </si>
  <si>
    <t>类型</t>
  </si>
  <si>
    <t>返利方式</t>
  </si>
  <si>
    <t>(返利/降价) 单价</t>
  </si>
  <si>
    <t>返利原因</t>
  </si>
  <si>
    <t>收到返利日期</t>
  </si>
  <si>
    <t>收到返利金额</t>
  </si>
  <si>
    <t>实收返利时间</t>
  </si>
  <si>
    <t>实收金额</t>
  </si>
  <si>
    <t>供应商返利（1）</t>
  </si>
  <si>
    <t>2026-01-17T16:53:22</t>
  </si>
  <si>
    <t>返利</t>
  </si>
  <si>
    <t>南和县长红玻璃有限公司-广聚盛通</t>
  </si>
  <si>
    <t>重箱</t>
  </si>
  <si>
    <t>12月返利</t>
  </si>
  <si>
    <t>2026-01-17 16:53:35</t>
  </si>
  <si>
    <t>供应商返利（2）</t>
  </si>
  <si>
    <t>2026-01-09T00:00</t>
  </si>
  <si>
    <t>安全实业有限公司-龙通</t>
  </si>
  <si>
    <t>12.27返利</t>
  </si>
  <si>
    <t>2026-01-09 00:00:00</t>
  </si>
  <si>
    <t>返利供应商变动差额</t>
  </si>
  <si>
    <t>操作时间</t>
  </si>
  <si>
    <t>平账信息（1）</t>
  </si>
  <si>
    <t>2026-01-24T11:37:16</t>
  </si>
  <si>
    <t>胜芳恒昇源</t>
  </si>
  <si>
    <t>恒昇源承兑贴息952.6元已到账</t>
  </si>
  <si>
    <t>承兑贴息952.6元客户单独打还未打</t>
  </si>
  <si>
    <t>平账客户变动差额</t>
  </si>
  <si>
    <t>平账供应商变动差额</t>
  </si>
  <si>
    <t>id</t>
  </si>
  <si>
    <t>贷款来源</t>
  </si>
  <si>
    <t>借入金额</t>
  </si>
  <si>
    <t>贷款利率</t>
  </si>
  <si>
    <t>贷款发放日期</t>
  </si>
  <si>
    <t>贷款年限</t>
  </si>
  <si>
    <t>抵押担保</t>
  </si>
  <si>
    <t>打入账户</t>
  </si>
  <si>
    <t>打入账号</t>
  </si>
  <si>
    <t>已还款金额</t>
  </si>
  <si>
    <t>未还款金额</t>
  </si>
  <si>
    <t>已还款利息</t>
  </si>
  <si>
    <t>借入款（1）</t>
  </si>
  <si>
    <t>德州银行</t>
  </si>
  <si>
    <t>房产</t>
  </si>
  <si>
    <t>2025年7月2号德州银行房贷，</t>
  </si>
  <si>
    <t>借入款（2）</t>
  </si>
  <si>
    <t>2026年1月29号德州银行房贷，</t>
  </si>
  <si>
    <t>借入款银行卡资金变动</t>
  </si>
  <si>
    <t>未还款金额变化-还利息</t>
  </si>
  <si>
    <t>借款人</t>
  </si>
  <si>
    <t>对象类型</t>
  </si>
  <si>
    <t>借出金额</t>
  </si>
  <si>
    <t>收回金额</t>
  </si>
  <si>
    <t>累计坏账</t>
  </si>
  <si>
    <t>未收回金额</t>
  </si>
  <si>
    <t>对方收借款账号</t>
  </si>
  <si>
    <t>我方支付借款账户名称</t>
  </si>
  <si>
    <t>我方支付借款开户行</t>
  </si>
  <si>
    <t>我方付款账号</t>
  </si>
  <si>
    <t>支付员工/外面公司在我公司借款时间</t>
  </si>
  <si>
    <t>借款事由</t>
  </si>
  <si>
    <t>李强借款</t>
  </si>
  <si>
    <t>李强</t>
  </si>
  <si>
    <t>张成龙-德州银行</t>
  </si>
  <si>
    <t>德州银行股份有限公司湖滨支行</t>
  </si>
  <si>
    <t>借款</t>
  </si>
  <si>
    <t>张付利</t>
  </si>
  <si>
    <t>员工</t>
  </si>
  <si>
    <t>孙克鹏-农行2961</t>
  </si>
  <si>
    <t>中国农业银行股份有限公司德州马庄支行</t>
  </si>
  <si>
    <t>员工借款</t>
  </si>
  <si>
    <t>个人/公司从公司借款变动</t>
  </si>
  <si>
    <t>期货保证金公司</t>
  </si>
  <si>
    <t>对方类型</t>
  </si>
  <si>
    <t>保证金金额</t>
  </si>
  <si>
    <t>对方账户</t>
  </si>
  <si>
    <t>我方支付账户</t>
  </si>
  <si>
    <t>我方账号</t>
  </si>
  <si>
    <t>我方开户行</t>
  </si>
  <si>
    <t>支付期货保证金时间</t>
  </si>
  <si>
    <t>事由</t>
  </si>
  <si>
    <t>操作</t>
  </si>
  <si>
    <t>期货保证金（1）</t>
  </si>
  <si>
    <t>方正中期期货有限公司</t>
  </si>
  <si>
    <t>孙克鹏-农行9919</t>
  </si>
  <si>
    <t>期货</t>
  </si>
  <si>
    <t>23年之前的累计余额</t>
  </si>
  <si>
    <t>期货保证金（2）</t>
  </si>
  <si>
    <t>期货保证金银行卡资金变动</t>
  </si>
  <si>
    <t>支付时间</t>
  </si>
  <si>
    <t>厂家保证金（1）</t>
  </si>
  <si>
    <t>厂家保证金</t>
  </si>
  <si>
    <t>威海中玻</t>
  </si>
  <si>
    <t>威海中玻玻璃</t>
  </si>
  <si>
    <t>中玻(威海)特种玻璃股份有限公司</t>
  </si>
  <si>
    <t>保证金</t>
  </si>
  <si>
    <t>厂家保证金（2）</t>
  </si>
  <si>
    <t>厂家保证金银行卡资金变动</t>
  </si>
  <si>
    <t>保证金公司</t>
  </si>
  <si>
    <t>对象名称</t>
  </si>
  <si>
    <t>未退款金额</t>
  </si>
  <si>
    <t>我方收款账户</t>
  </si>
  <si>
    <t>收取时间</t>
  </si>
  <si>
    <t>操作人员</t>
  </si>
  <si>
    <t>收取保证金（1）</t>
  </si>
  <si>
    <t>司机保证金</t>
  </si>
  <si>
    <t>王逊强</t>
  </si>
  <si>
    <t>实际收取时间2022-02-11</t>
  </si>
  <si>
    <t>临沂司机司双府</t>
  </si>
  <si>
    <t>司双府</t>
  </si>
  <si>
    <t>收取司机保证金</t>
  </si>
  <si>
    <t>收取保证金银行卡资金变动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</si>
</sst>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indexed="8"/>
      <name val="宋体"/>
      <charset val="134"/>
      <scheme val="minor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auto="1"/>
      </right>
      <top style="thin">
        <color indexed="23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9" borderId="1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7">
      <alignment vertical="center"/>
    </xf>
    <xf numFmtId="0" fontId="14" fillId="0" borderId="17">
      <alignment vertical="center"/>
    </xf>
    <xf numFmtId="0" fontId="15" fillId="0" borderId="18">
      <alignment vertical="center"/>
    </xf>
    <xf numFmtId="0" fontId="15" fillId="0" borderId="0">
      <alignment vertical="center"/>
    </xf>
    <xf numFmtId="0" fontId="16" fillId="10" borderId="19">
      <alignment vertical="center"/>
    </xf>
    <xf numFmtId="0" fontId="17" fillId="11" borderId="20">
      <alignment vertical="center"/>
    </xf>
    <xf numFmtId="0" fontId="18" fillId="11" borderId="19">
      <alignment vertical="center"/>
    </xf>
    <xf numFmtId="0" fontId="19" fillId="12" borderId="21">
      <alignment vertical="center"/>
    </xf>
    <xf numFmtId="0" fontId="20" fillId="0" borderId="22">
      <alignment vertical="center"/>
    </xf>
    <xf numFmtId="0" fontId="21" fillId="0" borderId="23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5" fillId="39" borderId="0">
      <alignment vertical="center"/>
    </xf>
  </cellStyleXfs>
  <cellXfs count="6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5" borderId="0" xfId="0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82550</xdr:colOff>
          <xdr:row>2</xdr:row>
          <xdr:rowOff>9525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889125" y="182880"/>
              <a:ext cx="600075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0</xdr:colOff>
          <xdr:row>2</xdr:row>
          <xdr:rowOff>9525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889125" y="1828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0</xdr:colOff>
          <xdr:row>3</xdr:row>
          <xdr:rowOff>9525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889125" y="3657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3.xml"/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zoomScale="130" zoomScaleNormal="130" workbookViewId="0">
      <selection activeCell="B9" sqref="B9"/>
    </sheetView>
  </sheetViews>
  <sheetFormatPr defaultColWidth="8.88888888888889" defaultRowHeight="14.4" outlineLevelCol="1"/>
  <cols>
    <col min="1" max="1" width="45.8888888888889" customWidth="1"/>
    <col min="2" max="2" width="85.3333333333333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61" t="s">
        <v>5</v>
      </c>
    </row>
    <row r="4" ht="28.8" spans="1:2">
      <c r="A4" s="2" t="s">
        <v>6</v>
      </c>
      <c r="B4" s="61" t="s">
        <v>7</v>
      </c>
    </row>
    <row r="5" ht="28.8" spans="1:2">
      <c r="A5" s="2" t="s">
        <v>8</v>
      </c>
      <c r="B5" s="61" t="s">
        <v>9</v>
      </c>
    </row>
    <row r="6" ht="28.8" spans="1:2">
      <c r="A6" s="2" t="s">
        <v>10</v>
      </c>
      <c r="B6" s="61" t="s">
        <v>11</v>
      </c>
    </row>
    <row r="7" spans="1:2">
      <c r="A7" s="2" t="s">
        <v>12</v>
      </c>
      <c r="B7" s="61" t="s">
        <v>13</v>
      </c>
    </row>
    <row r="8" spans="1:2">
      <c r="A8" s="2" t="s">
        <v>14</v>
      </c>
      <c r="B8" s="61" t="s">
        <v>15</v>
      </c>
    </row>
    <row r="9" spans="1:2">
      <c r="A9" s="2" t="s">
        <v>16</v>
      </c>
      <c r="B9" s="61" t="s">
        <v>17</v>
      </c>
    </row>
    <row r="10" spans="1:2">
      <c r="A10" s="2" t="s">
        <v>18</v>
      </c>
      <c r="B10" s="61" t="s">
        <v>19</v>
      </c>
    </row>
    <row r="11" spans="1:2">
      <c r="A11" s="2" t="s">
        <v>20</v>
      </c>
      <c r="B11" s="61" t="s">
        <v>21</v>
      </c>
    </row>
    <row r="12" spans="1:2">
      <c r="A12" s="2" t="s">
        <v>22</v>
      </c>
      <c r="B12" s="6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61" sqref="A61"/>
    </sheetView>
  </sheetViews>
  <sheetFormatPr defaultColWidth="9" defaultRowHeight="14.4"/>
  <cols>
    <col min="1" max="1" width="20.3333333333333" customWidth="1"/>
    <col min="2" max="2" width="23.4444444444444" customWidth="1"/>
    <col min="3" max="3" width="11.1111111111111" customWidth="1"/>
    <col min="20" max="20" width="9.66666666666667"/>
    <col min="21" max="21" width="12.8888888888889" customWidth="1"/>
    <col min="22" max="22" width="7.66666666666667" customWidth="1"/>
    <col min="23" max="23" width="14.1111111111111" customWidth="1"/>
    <col min="24" max="24" width="10.5462962962963"/>
    <col min="37" max="37" width="5.66666666666667" customWidth="1"/>
    <col min="38" max="41" width="9.66666666666667" customWidth="1"/>
    <col min="42" max="43" width="14.1111111111111" customWidth="1"/>
  </cols>
  <sheetData>
    <row r="1" s="4" customFormat="1" spans="1:43">
      <c r="B1" s="52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36</v>
      </c>
      <c r="O1" s="11" t="s">
        <v>37</v>
      </c>
      <c r="P1" s="11" t="s">
        <v>38</v>
      </c>
      <c r="Q1" s="11" t="s">
        <v>39</v>
      </c>
      <c r="R1" s="11" t="s">
        <v>40</v>
      </c>
      <c r="S1" s="11" t="s">
        <v>41</v>
      </c>
      <c r="T1" s="11" t="s">
        <v>42</v>
      </c>
      <c r="U1" s="11" t="s">
        <v>43</v>
      </c>
      <c r="V1" s="11" t="s">
        <v>44</v>
      </c>
      <c r="W1" s="11" t="s">
        <v>45</v>
      </c>
      <c r="X1" s="11" t="s">
        <v>46</v>
      </c>
      <c r="Y1" s="11" t="s">
        <v>47</v>
      </c>
      <c r="Z1" s="11" t="s">
        <v>48</v>
      </c>
      <c r="AA1" s="11" t="s">
        <v>49</v>
      </c>
      <c r="AB1" s="11" t="s">
        <v>50</v>
      </c>
      <c r="AC1" s="11" t="s">
        <v>51</v>
      </c>
      <c r="AD1" s="11" t="s">
        <v>52</v>
      </c>
      <c r="AE1" s="11" t="s">
        <v>53</v>
      </c>
      <c r="AF1" s="11" t="s">
        <v>54</v>
      </c>
      <c r="AG1" s="11" t="s">
        <v>55</v>
      </c>
      <c r="AH1" s="11" t="s">
        <v>56</v>
      </c>
      <c r="AI1" s="11" t="s">
        <v>57</v>
      </c>
      <c r="AJ1" s="11" t="s">
        <v>58</v>
      </c>
      <c r="AK1" s="11" t="s">
        <v>59</v>
      </c>
      <c r="AL1" s="11" t="s">
        <v>60</v>
      </c>
      <c r="AM1" s="11" t="s">
        <v>61</v>
      </c>
      <c r="AN1" s="11" t="s">
        <v>62</v>
      </c>
      <c r="AO1" s="11" t="s">
        <v>63</v>
      </c>
      <c r="AP1" s="11" t="s">
        <v>64</v>
      </c>
      <c r="AQ1" s="11" t="s">
        <v>65</v>
      </c>
    </row>
    <row r="2" spans="1:43">
      <c r="A2" s="45" t="s">
        <v>66</v>
      </c>
      <c r="B2" s="37" t="s">
        <v>67</v>
      </c>
      <c r="C2" s="38" t="s">
        <v>68</v>
      </c>
      <c r="D2" s="14" t="s">
        <v>69</v>
      </c>
      <c r="E2" s="14" t="s">
        <v>70</v>
      </c>
      <c r="F2" s="14" t="s">
        <v>71</v>
      </c>
      <c r="G2" s="16" t="s">
        <v>71</v>
      </c>
      <c r="H2" s="18" t="s">
        <v>72</v>
      </c>
      <c r="I2" s="18" t="s">
        <v>73</v>
      </c>
      <c r="J2" s="18" t="s">
        <v>74</v>
      </c>
      <c r="K2" s="18">
        <v>7</v>
      </c>
      <c r="L2" s="18">
        <v>3660</v>
      </c>
      <c r="M2" s="18">
        <v>2250</v>
      </c>
      <c r="N2" s="18">
        <v>22</v>
      </c>
      <c r="O2" s="18">
        <v>1</v>
      </c>
      <c r="P2" s="18">
        <v>22</v>
      </c>
      <c r="Q2" s="18">
        <v>24.8</v>
      </c>
      <c r="R2" s="18" t="s">
        <v>75</v>
      </c>
      <c r="S2" s="18"/>
      <c r="T2" s="18">
        <v>4493.02</v>
      </c>
      <c r="U2" s="18">
        <v>22</v>
      </c>
      <c r="V2" s="18">
        <v>24.8</v>
      </c>
      <c r="W2" s="18" t="s">
        <v>76</v>
      </c>
      <c r="X2" s="18" t="s">
        <v>77</v>
      </c>
      <c r="Y2" s="18">
        <v>0.2</v>
      </c>
      <c r="Z2" s="18">
        <v>3.08</v>
      </c>
      <c r="AA2" s="18"/>
      <c r="AB2" s="18"/>
      <c r="AC2" s="18">
        <v>0</v>
      </c>
      <c r="AD2" s="18"/>
      <c r="AE2" s="18">
        <v>0</v>
      </c>
      <c r="AF2" s="18"/>
      <c r="AG2" s="18">
        <v>0</v>
      </c>
      <c r="AH2" s="18">
        <v>0</v>
      </c>
      <c r="AI2" s="18" t="s">
        <v>78</v>
      </c>
      <c r="AJ2" s="18" t="s">
        <v>79</v>
      </c>
      <c r="AK2" s="53"/>
      <c r="AL2" s="53"/>
      <c r="AM2" s="53"/>
      <c r="AN2" s="53"/>
      <c r="AO2" s="53"/>
      <c r="AP2" s="53"/>
      <c r="AQ2" s="53"/>
    </row>
    <row r="3" customFormat="1" spans="1:43">
      <c r="A3" s="45"/>
      <c r="B3" s="54" t="s">
        <v>80</v>
      </c>
      <c r="C3" s="55" t="s">
        <v>68</v>
      </c>
      <c r="D3" s="32" t="s">
        <v>69</v>
      </c>
      <c r="E3" s="32" t="s">
        <v>70</v>
      </c>
      <c r="F3" s="32" t="s">
        <v>71</v>
      </c>
      <c r="G3" s="56" t="s">
        <v>71</v>
      </c>
      <c r="H3" s="22" t="s">
        <v>72</v>
      </c>
      <c r="I3" s="22" t="s">
        <v>73</v>
      </c>
      <c r="J3" s="22" t="s">
        <v>74</v>
      </c>
      <c r="K3" s="22">
        <v>7</v>
      </c>
      <c r="L3" s="22">
        <v>3660</v>
      </c>
      <c r="M3" s="22">
        <v>2250</v>
      </c>
      <c r="N3" s="22">
        <v>22</v>
      </c>
      <c r="O3" s="22">
        <v>1</v>
      </c>
      <c r="P3" s="22">
        <v>22</v>
      </c>
      <c r="Q3" s="22">
        <v>24.6</v>
      </c>
      <c r="R3" s="22" t="s">
        <v>75</v>
      </c>
      <c r="S3" s="22"/>
      <c r="T3" s="22">
        <v>4456.78</v>
      </c>
      <c r="U3" s="22">
        <v>22</v>
      </c>
      <c r="V3" s="22">
        <v>24.6</v>
      </c>
      <c r="W3" s="22" t="s">
        <v>76</v>
      </c>
      <c r="X3" s="22">
        <v>4456.78</v>
      </c>
      <c r="Y3" s="22">
        <v>0.2</v>
      </c>
      <c r="Z3" s="22">
        <v>3.08</v>
      </c>
      <c r="AA3" s="22"/>
      <c r="AB3" s="22"/>
      <c r="AC3" s="22">
        <v>0</v>
      </c>
      <c r="AD3" s="22"/>
      <c r="AE3" s="22">
        <v>0</v>
      </c>
      <c r="AF3" s="22"/>
      <c r="AG3" s="22">
        <v>0</v>
      </c>
      <c r="AH3" s="22">
        <v>0</v>
      </c>
      <c r="AI3" s="22" t="s">
        <v>78</v>
      </c>
      <c r="AJ3" s="22" t="s">
        <v>79</v>
      </c>
      <c r="AK3" s="8"/>
      <c r="AL3" s="8"/>
      <c r="AM3" s="8"/>
      <c r="AN3" s="8"/>
      <c r="AO3" s="8"/>
      <c r="AP3" s="8"/>
      <c r="AQ3" s="8"/>
    </row>
    <row r="4" spans="1:43">
      <c r="A4" s="45"/>
      <c r="B4" s="37" t="s">
        <v>67</v>
      </c>
      <c r="C4" s="38" t="s">
        <v>68</v>
      </c>
      <c r="D4" s="14" t="s">
        <v>69</v>
      </c>
      <c r="E4" s="14" t="s">
        <v>70</v>
      </c>
      <c r="F4" s="14" t="s">
        <v>71</v>
      </c>
      <c r="G4" s="16" t="s">
        <v>71</v>
      </c>
      <c r="H4" s="7" t="s">
        <v>72</v>
      </c>
      <c r="I4" s="7" t="s">
        <v>81</v>
      </c>
      <c r="J4" s="7" t="s">
        <v>74</v>
      </c>
      <c r="K4" s="7">
        <v>7.2</v>
      </c>
      <c r="L4" s="7">
        <v>3660</v>
      </c>
      <c r="M4" s="7">
        <v>2250</v>
      </c>
      <c r="N4" s="7">
        <v>26</v>
      </c>
      <c r="O4" s="7">
        <v>1</v>
      </c>
      <c r="P4" s="7">
        <v>26</v>
      </c>
      <c r="Q4" s="7">
        <v>21.06</v>
      </c>
      <c r="R4" s="7" t="s">
        <v>75</v>
      </c>
      <c r="S4" s="7"/>
      <c r="T4" s="7">
        <v>4509.16</v>
      </c>
      <c r="U4" s="7">
        <v>26</v>
      </c>
      <c r="V4" s="7">
        <v>21.06</v>
      </c>
      <c r="W4" s="7" t="s">
        <v>76</v>
      </c>
      <c r="X4" s="7" t="s">
        <v>82</v>
      </c>
      <c r="Y4" s="7">
        <v>0.2</v>
      </c>
      <c r="Z4" s="7">
        <v>3.75</v>
      </c>
      <c r="AA4" s="7"/>
      <c r="AB4" s="7"/>
      <c r="AC4" s="7">
        <v>0</v>
      </c>
      <c r="AD4" s="7"/>
      <c r="AE4" s="7">
        <v>0</v>
      </c>
      <c r="AF4" s="7"/>
      <c r="AG4" s="7">
        <v>0</v>
      </c>
      <c r="AH4" s="7">
        <v>0</v>
      </c>
      <c r="AI4" s="7" t="s">
        <v>78</v>
      </c>
      <c r="AJ4" s="7" t="s">
        <v>79</v>
      </c>
      <c r="AK4" s="2"/>
      <c r="AL4" s="2"/>
      <c r="AM4" s="2"/>
      <c r="AN4" s="2"/>
      <c r="AO4" s="2"/>
      <c r="AP4" s="2"/>
      <c r="AQ4" s="2"/>
    </row>
    <row r="5" s="51" customFormat="1" spans="1:43">
      <c r="A5" s="45"/>
      <c r="B5" s="54" t="s">
        <v>80</v>
      </c>
      <c r="C5" s="55" t="s">
        <v>68</v>
      </c>
      <c r="D5" s="32" t="s">
        <v>69</v>
      </c>
      <c r="E5" s="32" t="s">
        <v>70</v>
      </c>
      <c r="F5" s="32" t="s">
        <v>71</v>
      </c>
      <c r="G5" s="56" t="s">
        <v>71</v>
      </c>
      <c r="H5" s="22" t="s">
        <v>72</v>
      </c>
      <c r="I5" s="22" t="s">
        <v>81</v>
      </c>
      <c r="J5" s="22" t="s">
        <v>74</v>
      </c>
      <c r="K5" s="22">
        <v>7.2</v>
      </c>
      <c r="L5" s="22">
        <v>3660</v>
      </c>
      <c r="M5" s="22">
        <v>2250</v>
      </c>
      <c r="N5" s="22">
        <v>26</v>
      </c>
      <c r="O5" s="22">
        <v>1</v>
      </c>
      <c r="P5" s="22">
        <v>26</v>
      </c>
      <c r="Q5" s="22">
        <v>21</v>
      </c>
      <c r="R5" s="22" t="s">
        <v>75</v>
      </c>
      <c r="S5" s="22"/>
      <c r="T5" s="22">
        <v>4496.31</v>
      </c>
      <c r="U5" s="22">
        <v>26</v>
      </c>
      <c r="V5" s="22">
        <v>21</v>
      </c>
      <c r="W5" s="22" t="s">
        <v>76</v>
      </c>
      <c r="X5" s="22">
        <v>4496.31</v>
      </c>
      <c r="Y5" s="22">
        <v>0.2</v>
      </c>
      <c r="Z5" s="22">
        <v>3.75</v>
      </c>
      <c r="AA5" s="22"/>
      <c r="AB5" s="22"/>
      <c r="AC5" s="22">
        <v>0</v>
      </c>
      <c r="AD5" s="22"/>
      <c r="AE5" s="22">
        <v>0</v>
      </c>
      <c r="AF5" s="22"/>
      <c r="AG5" s="22">
        <v>0</v>
      </c>
      <c r="AH5" s="22">
        <v>0</v>
      </c>
      <c r="AI5" s="22" t="s">
        <v>78</v>
      </c>
      <c r="AJ5" s="22" t="s">
        <v>79</v>
      </c>
      <c r="AK5" s="8"/>
      <c r="AL5" s="8"/>
      <c r="AM5" s="8"/>
      <c r="AN5" s="8"/>
      <c r="AO5" s="8"/>
      <c r="AP5" s="8"/>
      <c r="AQ5" s="8"/>
    </row>
    <row r="6" spans="1:43">
      <c r="A6" s="45"/>
      <c r="B6" s="37" t="s">
        <v>67</v>
      </c>
      <c r="C6" s="38" t="s">
        <v>68</v>
      </c>
      <c r="D6" s="14" t="s">
        <v>69</v>
      </c>
      <c r="E6" s="14" t="s">
        <v>70</v>
      </c>
      <c r="F6" s="14" t="s">
        <v>71</v>
      </c>
      <c r="G6" s="16" t="s">
        <v>71</v>
      </c>
      <c r="H6" s="7" t="s">
        <v>72</v>
      </c>
      <c r="I6" s="7" t="s">
        <v>83</v>
      </c>
      <c r="J6" s="7" t="s">
        <v>74</v>
      </c>
      <c r="K6" s="7">
        <v>8</v>
      </c>
      <c r="L6" s="7">
        <v>3660</v>
      </c>
      <c r="M6" s="7">
        <v>2440</v>
      </c>
      <c r="N6" s="7">
        <v>20</v>
      </c>
      <c r="O6" s="7">
        <v>1</v>
      </c>
      <c r="P6" s="7">
        <v>20</v>
      </c>
      <c r="Q6" s="7">
        <v>27</v>
      </c>
      <c r="R6" s="7" t="s">
        <v>75</v>
      </c>
      <c r="S6" s="7"/>
      <c r="T6" s="7">
        <v>4822.42</v>
      </c>
      <c r="U6" s="7">
        <v>20</v>
      </c>
      <c r="V6" s="7">
        <v>27</v>
      </c>
      <c r="W6" s="7" t="s">
        <v>76</v>
      </c>
      <c r="X6" s="7" t="s">
        <v>84</v>
      </c>
      <c r="Y6" s="7">
        <v>0.2</v>
      </c>
      <c r="Z6" s="7">
        <v>3.48</v>
      </c>
      <c r="AA6" s="7"/>
      <c r="AB6" s="7"/>
      <c r="AC6" s="7">
        <v>0</v>
      </c>
      <c r="AD6" s="7"/>
      <c r="AE6" s="7">
        <v>0</v>
      </c>
      <c r="AF6" s="7"/>
      <c r="AG6" s="7">
        <v>0</v>
      </c>
      <c r="AH6" s="7">
        <v>0</v>
      </c>
      <c r="AI6" s="7" t="s">
        <v>78</v>
      </c>
      <c r="AJ6" s="7" t="s">
        <v>79</v>
      </c>
      <c r="AK6" s="2"/>
      <c r="AL6" s="2"/>
      <c r="AM6" s="2"/>
      <c r="AN6" s="2"/>
      <c r="AO6" s="2"/>
      <c r="AP6" s="2"/>
      <c r="AQ6" s="2"/>
    </row>
    <row r="7" s="51" customFormat="1" spans="1:43">
      <c r="A7" s="45"/>
      <c r="B7" s="54" t="s">
        <v>80</v>
      </c>
      <c r="C7" s="55" t="s">
        <v>85</v>
      </c>
      <c r="D7" s="32" t="s">
        <v>85</v>
      </c>
      <c r="E7" s="32"/>
      <c r="F7" s="32"/>
      <c r="G7" s="56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8"/>
      <c r="AL7" s="8"/>
      <c r="AM7" s="8"/>
      <c r="AN7" s="8"/>
      <c r="AO7" s="8"/>
      <c r="AP7" s="8"/>
      <c r="AQ7" s="8"/>
    </row>
    <row r="8" spans="1:43">
      <c r="A8" s="45"/>
      <c r="B8" s="37" t="s">
        <v>67</v>
      </c>
      <c r="C8" s="38" t="s">
        <v>85</v>
      </c>
      <c r="D8" s="14" t="s">
        <v>85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="51" customFormat="1" spans="1:43">
      <c r="A9" s="45"/>
      <c r="B9" s="54" t="s">
        <v>80</v>
      </c>
      <c r="C9" s="57" t="s">
        <v>68</v>
      </c>
      <c r="D9" s="58" t="s">
        <v>69</v>
      </c>
      <c r="E9" s="58" t="s">
        <v>70</v>
      </c>
      <c r="F9" s="58" t="s">
        <v>71</v>
      </c>
      <c r="G9" s="59" t="s">
        <v>71</v>
      </c>
      <c r="H9" s="22" t="s">
        <v>86</v>
      </c>
      <c r="I9" s="22" t="s">
        <v>87</v>
      </c>
      <c r="J9" s="22" t="s">
        <v>74</v>
      </c>
      <c r="K9" s="22">
        <v>10</v>
      </c>
      <c r="L9" s="22">
        <v>3660</v>
      </c>
      <c r="M9" s="22">
        <v>2440</v>
      </c>
      <c r="N9" s="22">
        <v>17</v>
      </c>
      <c r="O9" s="22">
        <v>1</v>
      </c>
      <c r="P9" s="22">
        <v>17</v>
      </c>
      <c r="Q9" s="22">
        <v>25</v>
      </c>
      <c r="R9" s="22" t="s">
        <v>75</v>
      </c>
      <c r="S9" s="22"/>
      <c r="T9" s="22">
        <v>3795.42</v>
      </c>
      <c r="U9" s="22">
        <v>17</v>
      </c>
      <c r="V9" s="22">
        <v>25</v>
      </c>
      <c r="W9" s="22" t="s">
        <v>76</v>
      </c>
      <c r="X9" s="22" t="s">
        <v>88</v>
      </c>
      <c r="Y9" s="22">
        <v>0.4</v>
      </c>
      <c r="Z9" s="22">
        <v>3.64</v>
      </c>
      <c r="AA9" s="22"/>
      <c r="AB9" s="22"/>
      <c r="AC9" s="22">
        <v>0</v>
      </c>
      <c r="AD9" s="22"/>
      <c r="AE9" s="22">
        <v>0</v>
      </c>
      <c r="AF9" s="22"/>
      <c r="AG9" s="22">
        <v>0</v>
      </c>
      <c r="AH9" s="22">
        <v>0</v>
      </c>
      <c r="AI9" s="22" t="s">
        <v>78</v>
      </c>
      <c r="AJ9" s="22" t="s">
        <v>79</v>
      </c>
      <c r="AK9" s="8"/>
      <c r="AL9" s="8"/>
      <c r="AM9" s="8"/>
      <c r="AN9" s="8"/>
      <c r="AO9" s="8"/>
      <c r="AP9" s="8"/>
      <c r="AQ9" s="8"/>
    </row>
    <row r="10" spans="1:43">
      <c r="A10" s="45"/>
      <c r="B10" s="2" t="s">
        <v>89</v>
      </c>
      <c r="C10" s="44"/>
      <c r="D10" s="2"/>
      <c r="E10" s="2"/>
      <c r="F10" s="2"/>
      <c r="G10" s="6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f>T9+T7+T5+T3-T8-T6-T4-T2</f>
        <v>-1076.09</v>
      </c>
      <c r="U10" s="2"/>
      <c r="V10" s="2"/>
      <c r="W10" s="2"/>
      <c r="X10" s="2">
        <f>X9+X7+X5+X3-X8-X6-X4-X2</f>
        <v>-1076.09</v>
      </c>
      <c r="Y10" s="2"/>
      <c r="Z10" s="2"/>
      <c r="AA10" s="2"/>
      <c r="AB10" s="2"/>
      <c r="AC10" s="2">
        <f>AC9+AC7+AC5+AC3-AC8-AC6-AC4-AC2</f>
        <v>0</v>
      </c>
      <c r="AD10" s="2">
        <f>AD9+AD7+AD5+AD3-AD8-AD6-AD4-AD2</f>
        <v>0</v>
      </c>
      <c r="AE10" s="2">
        <f>AE9+AE7+AE5+AE3-AE8-AE6-AE4-AE2</f>
        <v>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customFormat="1" spans="1:43">
      <c r="A11" s="8" t="s">
        <v>90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f>T10</f>
        <v>-1076.09</v>
      </c>
      <c r="U11" s="8"/>
      <c r="V11" s="8"/>
      <c r="W11" s="8"/>
      <c r="X11" s="8">
        <f>X10</f>
        <v>-1076.09</v>
      </c>
      <c r="Y11" s="8"/>
      <c r="Z11" s="8"/>
      <c r="AA11" s="8"/>
      <c r="AB11" s="8"/>
      <c r="AC11" s="8"/>
      <c r="AD11" s="8"/>
      <c r="AE11" s="8">
        <f t="shared" ref="AC11:AE11" si="0">AE10</f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7" spans="1:3">
      <c r="A17" s="1" t="s">
        <v>91</v>
      </c>
      <c r="B17" s="1"/>
      <c r="C17" s="2">
        <f>X11</f>
        <v>-1076.09</v>
      </c>
    </row>
    <row r="18" spans="1:3">
      <c r="A18" s="1" t="s">
        <v>92</v>
      </c>
      <c r="B18" s="1"/>
      <c r="C18" s="2">
        <f>T11</f>
        <v>-1076.09</v>
      </c>
    </row>
    <row r="19" spans="1:3">
      <c r="A19" s="1" t="s">
        <v>93</v>
      </c>
      <c r="B19" s="1"/>
      <c r="C19" s="2">
        <f>AE10</f>
        <v>0</v>
      </c>
    </row>
  </sheetData>
  <mergeCells count="4">
    <mergeCell ref="A17:B17"/>
    <mergeCell ref="A18:B18"/>
    <mergeCell ref="A19:B19"/>
    <mergeCell ref="A2:A10"/>
  </mergeCells>
  <dataValidations count="1">
    <dataValidation type="custom" allowBlank="1" showInputMessage="1" showErrorMessage="1" prompt="海运费+陆运费" sqref="AE9 AE2:AE7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C27" sqref="C27"/>
    </sheetView>
  </sheetViews>
  <sheetFormatPr defaultColWidth="8.73148148148148" defaultRowHeight="14.4"/>
  <cols>
    <col min="1" max="1" width="15.1851851851852" customWidth="1"/>
    <col min="2" max="2" width="7.5462962962963" customWidth="1"/>
    <col min="3" max="3" width="14" customWidth="1"/>
    <col min="4" max="4" width="11.8148148148148" customWidth="1"/>
    <col min="5" max="5" width="14" customWidth="1"/>
    <col min="6" max="6" width="16.2685185185185" customWidth="1"/>
    <col min="7" max="7" width="27.5462962962963" customWidth="1"/>
    <col min="8" max="10" width="5.5462962962963" customWidth="1"/>
    <col min="11" max="12" width="7.5462962962963" customWidth="1"/>
    <col min="13" max="13" width="11.8148148148148" customWidth="1"/>
  </cols>
  <sheetData>
    <row r="1" spans="1:13">
      <c r="A1" s="2"/>
      <c r="B1" s="2"/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33</v>
      </c>
      <c r="I1" s="2" t="s">
        <v>34</v>
      </c>
      <c r="J1" s="2" t="s">
        <v>35</v>
      </c>
      <c r="K1" s="2" t="s">
        <v>99</v>
      </c>
      <c r="L1" s="2" t="s">
        <v>100</v>
      </c>
      <c r="M1" s="2" t="s">
        <v>101</v>
      </c>
    </row>
    <row r="2" spans="1:13">
      <c r="A2" s="1" t="s">
        <v>102</v>
      </c>
      <c r="B2" s="2" t="s">
        <v>67</v>
      </c>
      <c r="C2" s="2" t="s">
        <v>103</v>
      </c>
      <c r="D2" s="2" t="s">
        <v>69</v>
      </c>
      <c r="E2" s="2" t="s">
        <v>104</v>
      </c>
      <c r="F2" s="2">
        <v>46052</v>
      </c>
      <c r="G2" s="2" t="s">
        <v>81</v>
      </c>
      <c r="H2" s="2">
        <v>7.2</v>
      </c>
      <c r="I2" s="2">
        <v>3660</v>
      </c>
      <c r="J2" s="2">
        <v>2250</v>
      </c>
      <c r="K2" s="2">
        <v>52</v>
      </c>
      <c r="L2" s="2">
        <v>20.97</v>
      </c>
      <c r="M2" s="2">
        <v>8979.77</v>
      </c>
    </row>
    <row r="3" spans="1:13">
      <c r="A3" s="1"/>
      <c r="B3" s="8" t="s">
        <v>80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1"/>
      <c r="B4" s="2" t="s">
        <v>89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f>M3-M2</f>
        <v>-8979.77</v>
      </c>
    </row>
    <row r="5" spans="1:13">
      <c r="A5" s="1" t="s">
        <v>105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"/>
      <c r="B6" s="8" t="s">
        <v>80</v>
      </c>
      <c r="C6" s="8" t="s">
        <v>103</v>
      </c>
      <c r="D6" s="8" t="s">
        <v>69</v>
      </c>
      <c r="E6" s="8" t="s">
        <v>104</v>
      </c>
      <c r="F6" s="8">
        <v>46052</v>
      </c>
      <c r="G6" s="8" t="s">
        <v>81</v>
      </c>
      <c r="H6" s="8">
        <v>7.2</v>
      </c>
      <c r="I6" s="8">
        <v>3660</v>
      </c>
      <c r="J6" s="8">
        <v>2250</v>
      </c>
      <c r="K6" s="8">
        <v>52</v>
      </c>
      <c r="L6" s="8">
        <v>21</v>
      </c>
      <c r="M6" s="8">
        <f>I6*J6*K6*L6*0.000001</f>
        <v>8992.62</v>
      </c>
    </row>
    <row r="7" spans="1:13">
      <c r="A7" s="1"/>
      <c r="B7" s="2" t="s">
        <v>89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f>M6-M5</f>
        <v>8992.62</v>
      </c>
    </row>
    <row r="8" spans="1:13">
      <c r="A8" s="8" t="s">
        <v>90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>
        <f>M7+M4</f>
        <v>12.8499999999985</v>
      </c>
    </row>
    <row r="19" spans="1:3">
      <c r="A19" s="1" t="s">
        <v>106</v>
      </c>
      <c r="B19" s="1"/>
      <c r="C19" s="2">
        <f>M8</f>
        <v>12.8499999999985</v>
      </c>
    </row>
  </sheetData>
  <mergeCells count="3">
    <mergeCell ref="A19:B19"/>
    <mergeCell ref="A2:A4"/>
    <mergeCell ref="A5:A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B61" sqref="B60:B61"/>
    </sheetView>
  </sheetViews>
  <sheetFormatPr defaultColWidth="8.73148148148148" defaultRowHeight="14.4"/>
  <cols>
    <col min="1" max="1" width="15.1851851851852" customWidth="1"/>
    <col min="2" max="2" width="7.5462962962963" customWidth="1"/>
    <col min="3" max="3" width="11.8148148148148" customWidth="1"/>
    <col min="4" max="4" width="9.5462962962963" customWidth="1"/>
    <col min="5" max="5" width="16.2685185185185" customWidth="1"/>
    <col min="6" max="6" width="27.5462962962963" customWidth="1"/>
    <col min="7" max="9" width="5.5462962962963" customWidth="1"/>
    <col min="10" max="11" width="7.5462962962963" customWidth="1"/>
    <col min="12" max="12" width="9.5462962962963" customWidth="1"/>
    <col min="13" max="13" width="7.5462962962963" customWidth="1"/>
    <col min="14" max="15" width="11.7314814814815"/>
  </cols>
  <sheetData>
    <row r="1" customFormat="1" spans="1:12">
      <c r="A1" s="2"/>
      <c r="B1" s="2"/>
      <c r="C1" s="2" t="s">
        <v>95</v>
      </c>
      <c r="D1" s="2" t="s">
        <v>96</v>
      </c>
      <c r="E1" s="2" t="s">
        <v>97</v>
      </c>
      <c r="F1" s="2" t="s">
        <v>98</v>
      </c>
      <c r="G1" s="2" t="s">
        <v>33</v>
      </c>
      <c r="H1" s="2" t="s">
        <v>34</v>
      </c>
      <c r="I1" s="2" t="s">
        <v>35</v>
      </c>
      <c r="J1" s="2" t="s">
        <v>100</v>
      </c>
      <c r="K1" s="2" t="s">
        <v>99</v>
      </c>
      <c r="L1" s="2" t="s">
        <v>107</v>
      </c>
    </row>
    <row r="2" customFormat="1" spans="1:12">
      <c r="A2" s="1" t="s">
        <v>108</v>
      </c>
      <c r="B2" s="2" t="s">
        <v>67</v>
      </c>
      <c r="C2" s="2" t="s">
        <v>109</v>
      </c>
      <c r="D2" s="2" t="s">
        <v>110</v>
      </c>
      <c r="E2" s="50">
        <v>46063</v>
      </c>
      <c r="F2" s="2" t="s">
        <v>111</v>
      </c>
      <c r="G2" s="2">
        <v>6</v>
      </c>
      <c r="H2" s="2">
        <v>3660</v>
      </c>
      <c r="I2" s="2">
        <v>2440</v>
      </c>
      <c r="J2" s="2">
        <v>22.13</v>
      </c>
      <c r="K2" s="2">
        <v>10</v>
      </c>
      <c r="L2" s="2">
        <v>1976.3</v>
      </c>
    </row>
    <row r="3" customFormat="1" spans="1:12">
      <c r="A3" s="1"/>
      <c r="B3" s="8" t="s">
        <v>80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1" spans="1:12">
      <c r="A4" s="1"/>
      <c r="B4" s="2" t="s">
        <v>89</v>
      </c>
      <c r="C4" s="2"/>
      <c r="D4" s="2"/>
      <c r="E4" s="2"/>
      <c r="F4" s="2"/>
      <c r="G4" s="2"/>
      <c r="H4" s="2"/>
      <c r="I4" s="2"/>
      <c r="J4" s="2"/>
      <c r="K4" s="2"/>
      <c r="L4" s="2">
        <f>L3-L2</f>
        <v>-1976.3</v>
      </c>
    </row>
    <row r="5" customFormat="1" spans="1:12">
      <c r="A5" s="1" t="s">
        <v>112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1" spans="1:12">
      <c r="A6" s="1"/>
      <c r="B6" s="8" t="s">
        <v>80</v>
      </c>
      <c r="C6" s="2" t="s">
        <v>109</v>
      </c>
      <c r="D6" s="2" t="s">
        <v>110</v>
      </c>
      <c r="E6" s="50">
        <v>46063</v>
      </c>
      <c r="F6" s="2" t="s">
        <v>111</v>
      </c>
      <c r="G6" s="2">
        <v>6</v>
      </c>
      <c r="H6" s="2">
        <v>3660</v>
      </c>
      <c r="I6" s="2">
        <v>2440</v>
      </c>
      <c r="J6" s="2">
        <v>22.13</v>
      </c>
      <c r="K6" s="2">
        <v>9</v>
      </c>
      <c r="L6" s="2">
        <v>1778.67</v>
      </c>
    </row>
    <row r="7" customFormat="1" spans="1:12">
      <c r="A7" s="1"/>
      <c r="B7" s="2" t="s">
        <v>89</v>
      </c>
      <c r="C7" s="2"/>
      <c r="D7" s="2"/>
      <c r="E7" s="2"/>
      <c r="F7" s="2"/>
      <c r="G7" s="2"/>
      <c r="H7" s="2"/>
      <c r="I7" s="2"/>
      <c r="J7" s="2"/>
      <c r="K7" s="2"/>
      <c r="L7" s="2">
        <f>L6-L5</f>
        <v>1778.67</v>
      </c>
    </row>
    <row r="8" customFormat="1" spans="1:12">
      <c r="A8" s="8" t="s">
        <v>90</v>
      </c>
      <c r="B8" s="8"/>
      <c r="C8" s="2"/>
      <c r="D8" s="2"/>
      <c r="E8" s="2"/>
      <c r="F8" s="2"/>
      <c r="G8" s="2"/>
      <c r="H8" s="2"/>
      <c r="I8" s="2"/>
      <c r="J8" s="2"/>
      <c r="K8" s="2"/>
      <c r="L8" s="2">
        <f>L7+L4</f>
        <v>-197.63</v>
      </c>
    </row>
    <row r="15" customFormat="1" spans="1:12">
      <c r="A15" s="1" t="s">
        <v>113</v>
      </c>
      <c r="B15" s="1"/>
      <c r="C15" s="2">
        <f>L8</f>
        <v>-197.63</v>
      </c>
    </row>
  </sheetData>
  <mergeCells count="3">
    <mergeCell ref="A15:B15"/>
    <mergeCell ref="A2:A4"/>
    <mergeCell ref="A5:A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2"/>
  <sheetViews>
    <sheetView zoomScale="85" zoomScaleNormal="85" workbookViewId="0">
      <selection activeCell="A27" sqref="A27"/>
    </sheetView>
  </sheetViews>
  <sheetFormatPr defaultColWidth="9" defaultRowHeight="14.4"/>
  <cols>
    <col min="1" max="1" width="21.8888888888889" customWidth="1"/>
    <col min="2" max="2" width="19.7777777777778" customWidth="1"/>
    <col min="3" max="3" width="11.1111111111111" customWidth="1"/>
    <col min="4" max="4" width="26.1111111111111" customWidth="1"/>
    <col min="5" max="5" width="10.1111111111111" customWidth="1"/>
    <col min="6" max="7" width="9.66666666666667" customWidth="1"/>
    <col min="8" max="8" width="21.8888888888889" customWidth="1"/>
    <col min="9" max="9" width="9.66666666666667" customWidth="1"/>
    <col min="10" max="10" width="19.7777777777778" customWidth="1"/>
    <col min="11" max="11" width="9.66666666666667" customWidth="1"/>
    <col min="12" max="12" width="5.66666666666667" customWidth="1"/>
    <col min="13" max="13" width="8.66666666666667" customWidth="1"/>
    <col min="14" max="14" width="5.66666666666667" customWidth="1"/>
    <col min="15" max="16" width="9.66666666666667" customWidth="1"/>
    <col min="17" max="17" width="7.66666666666667" customWidth="1"/>
    <col min="18" max="18" width="9.66666666666667" customWidth="1"/>
    <col min="19" max="19" width="14.1111111111111" customWidth="1"/>
    <col min="20" max="20" width="5.66666666666667" customWidth="1"/>
    <col min="21" max="22" width="9.66666666666667" customWidth="1"/>
    <col min="23" max="23" width="7.66666666666667" customWidth="1"/>
    <col min="24" max="24" width="14.1111111111111" customWidth="1"/>
    <col min="25" max="25" width="11.8888888888889" customWidth="1"/>
    <col min="26" max="26" width="9.66666666666667" customWidth="1"/>
    <col min="27" max="28" width="6.66666666666667" customWidth="1"/>
    <col min="29" max="29" width="11.8888888888889" customWidth="1"/>
    <col min="30" max="30" width="5.66666666666667" customWidth="1"/>
    <col min="31" max="33" width="7.66666666666667" customWidth="1"/>
    <col min="34" max="34" width="9.66666666666667" customWidth="1"/>
    <col min="35" max="35" width="8.66666666666667" customWidth="1"/>
    <col min="36" max="36" width="11.8888888888889" customWidth="1"/>
    <col min="37" max="37" width="9.66666666666667" customWidth="1"/>
    <col min="38" max="38" width="9.22222222222222" customWidth="1"/>
    <col min="39" max="39" width="19.7777777777778" customWidth="1"/>
    <col min="40" max="42" width="9.66666666666667" customWidth="1"/>
    <col min="43" max="44" width="18.6666666666667" customWidth="1"/>
    <col min="45" max="45" width="7.66666666666667" customWidth="1"/>
  </cols>
  <sheetData>
    <row r="1" s="4" customFormat="1" spans="1:45">
      <c r="B1" s="9" t="s">
        <v>24</v>
      </c>
      <c r="C1" s="35" t="s">
        <v>114</v>
      </c>
      <c r="D1" s="11" t="s">
        <v>115</v>
      </c>
      <c r="E1" s="11" t="s">
        <v>116</v>
      </c>
      <c r="F1" s="11" t="s">
        <v>28</v>
      </c>
      <c r="G1" s="11" t="s">
        <v>29</v>
      </c>
      <c r="H1" s="11" t="s">
        <v>30</v>
      </c>
      <c r="I1" s="11" t="s">
        <v>95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38</v>
      </c>
      <c r="P1" s="11" t="s">
        <v>36</v>
      </c>
      <c r="Q1" s="11" t="s">
        <v>37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117</v>
      </c>
      <c r="W1" s="11" t="s">
        <v>44</v>
      </c>
      <c r="X1" s="11" t="s">
        <v>118</v>
      </c>
      <c r="Y1" s="11" t="s">
        <v>119</v>
      </c>
      <c r="Z1" s="11" t="s">
        <v>120</v>
      </c>
      <c r="AA1" s="11" t="s">
        <v>47</v>
      </c>
      <c r="AB1" s="11" t="s">
        <v>48</v>
      </c>
      <c r="AC1" s="11" t="s">
        <v>49</v>
      </c>
      <c r="AD1" s="11" t="s">
        <v>50</v>
      </c>
      <c r="AE1" s="11" t="s">
        <v>51</v>
      </c>
      <c r="AF1" s="11" t="s">
        <v>52</v>
      </c>
      <c r="AG1" s="11" t="s">
        <v>53</v>
      </c>
      <c r="AH1" s="11" t="s">
        <v>54</v>
      </c>
      <c r="AI1" s="11" t="s">
        <v>55</v>
      </c>
      <c r="AJ1" s="11" t="s">
        <v>56</v>
      </c>
      <c r="AK1" s="11" t="s">
        <v>121</v>
      </c>
      <c r="AL1" s="11" t="s">
        <v>58</v>
      </c>
      <c r="AM1" s="11" t="s">
        <v>59</v>
      </c>
      <c r="AN1" s="11" t="s">
        <v>61</v>
      </c>
      <c r="AO1" s="11" t="s">
        <v>62</v>
      </c>
      <c r="AP1" s="11" t="s">
        <v>63</v>
      </c>
      <c r="AQ1" s="11" t="s">
        <v>122</v>
      </c>
      <c r="AR1" s="11" t="s">
        <v>123</v>
      </c>
      <c r="AS1" s="11" t="s">
        <v>57</v>
      </c>
    </row>
    <row r="2" s="28" customFormat="1" ht="14" customHeight="1" spans="1:45">
      <c r="A2" s="36" t="s">
        <v>124</v>
      </c>
      <c r="B2" s="37" t="s">
        <v>67</v>
      </c>
      <c r="C2" s="38" t="s">
        <v>125</v>
      </c>
      <c r="D2" s="14" t="s">
        <v>126</v>
      </c>
      <c r="E2" s="14" t="s">
        <v>127</v>
      </c>
      <c r="F2" s="14"/>
      <c r="G2" s="14" t="s">
        <v>71</v>
      </c>
      <c r="H2" s="14" t="s">
        <v>128</v>
      </c>
      <c r="I2" s="14" t="s">
        <v>71</v>
      </c>
      <c r="J2" s="14" t="s">
        <v>129</v>
      </c>
      <c r="K2" s="14" t="s">
        <v>130</v>
      </c>
      <c r="L2" s="14">
        <v>8</v>
      </c>
      <c r="M2" s="14">
        <v>3900</v>
      </c>
      <c r="N2" s="14">
        <v>1580</v>
      </c>
      <c r="O2" s="14">
        <v>31</v>
      </c>
      <c r="P2" s="14">
        <v>3</v>
      </c>
      <c r="Q2" s="14">
        <v>93</v>
      </c>
      <c r="R2" s="14">
        <v>19.34</v>
      </c>
      <c r="S2" s="14" t="s">
        <v>75</v>
      </c>
      <c r="T2" s="14"/>
      <c r="U2" s="15">
        <v>11083.1</v>
      </c>
      <c r="V2" s="14">
        <v>93</v>
      </c>
      <c r="W2" s="14">
        <v>24.52</v>
      </c>
      <c r="X2" s="14" t="s">
        <v>131</v>
      </c>
      <c r="Y2" s="14"/>
      <c r="Z2" s="15">
        <v>14051.58</v>
      </c>
      <c r="AA2" s="14">
        <v>0</v>
      </c>
      <c r="AB2" s="14">
        <v>11.46</v>
      </c>
      <c r="AC2" s="14">
        <v>150</v>
      </c>
      <c r="AD2" s="14"/>
      <c r="AE2" s="15">
        <v>1719</v>
      </c>
      <c r="AF2" s="15"/>
      <c r="AG2" s="15">
        <v>1719</v>
      </c>
      <c r="AH2" s="14"/>
      <c r="AI2" s="14">
        <v>1249.48</v>
      </c>
      <c r="AJ2" s="14">
        <v>269.14</v>
      </c>
      <c r="AK2" s="14" t="s">
        <v>132</v>
      </c>
      <c r="AL2" s="14" t="s">
        <v>133</v>
      </c>
      <c r="AM2" s="14" t="s">
        <v>134</v>
      </c>
      <c r="AN2" s="14"/>
      <c r="AO2" s="14"/>
      <c r="AP2" s="14"/>
      <c r="AQ2" s="14"/>
      <c r="AR2" s="14"/>
      <c r="AS2" s="14" t="s">
        <v>135</v>
      </c>
    </row>
    <row r="3" s="28" customFormat="1" ht="14" customHeight="1" spans="1:45">
      <c r="A3" s="39"/>
      <c r="B3" s="37" t="s">
        <v>80</v>
      </c>
      <c r="C3" s="40" t="s">
        <v>125</v>
      </c>
      <c r="D3" s="18" t="s">
        <v>126</v>
      </c>
      <c r="E3" s="18" t="s">
        <v>127</v>
      </c>
      <c r="F3" s="18"/>
      <c r="G3" s="18" t="s">
        <v>71</v>
      </c>
      <c r="H3" s="18" t="s">
        <v>128</v>
      </c>
      <c r="I3" s="18" t="s">
        <v>71</v>
      </c>
      <c r="J3" s="18" t="s">
        <v>129</v>
      </c>
      <c r="K3" s="18" t="s">
        <v>130</v>
      </c>
      <c r="L3" s="18">
        <v>8</v>
      </c>
      <c r="M3" s="18">
        <v>3900</v>
      </c>
      <c r="N3" s="18">
        <v>1580</v>
      </c>
      <c r="O3" s="18">
        <v>125</v>
      </c>
      <c r="P3" s="18">
        <v>31</v>
      </c>
      <c r="Q3" s="18">
        <v>4</v>
      </c>
      <c r="R3" s="18">
        <v>19.34</v>
      </c>
      <c r="S3" s="18" t="s">
        <v>75</v>
      </c>
      <c r="T3" s="18">
        <v>100</v>
      </c>
      <c r="U3" s="17">
        <v>14996.64</v>
      </c>
      <c r="V3" s="18">
        <v>125</v>
      </c>
      <c r="W3" s="18">
        <v>24.52</v>
      </c>
      <c r="X3" s="18" t="s">
        <v>131</v>
      </c>
      <c r="Y3" s="18"/>
      <c r="Z3" s="17">
        <v>18886.53</v>
      </c>
      <c r="AA3" s="18">
        <v>0</v>
      </c>
      <c r="AB3" s="18">
        <v>15.41</v>
      </c>
      <c r="AC3" s="18">
        <v>150</v>
      </c>
      <c r="AD3" s="18">
        <v>-1.5</v>
      </c>
      <c r="AE3" s="17">
        <v>2310</v>
      </c>
      <c r="AF3" s="17"/>
      <c r="AG3" s="17">
        <v>2310</v>
      </c>
      <c r="AH3" s="18"/>
      <c r="AI3" s="18">
        <v>1579.89</v>
      </c>
      <c r="AJ3" s="18">
        <v>262.23</v>
      </c>
      <c r="AK3" s="18" t="s">
        <v>132</v>
      </c>
      <c r="AL3" s="18" t="s">
        <v>133</v>
      </c>
      <c r="AM3" s="18" t="s">
        <v>134</v>
      </c>
      <c r="AN3" s="18"/>
      <c r="AO3" s="18"/>
      <c r="AP3" s="18"/>
      <c r="AQ3" s="18"/>
      <c r="AR3" s="18"/>
      <c r="AS3" s="18" t="s">
        <v>135</v>
      </c>
    </row>
    <row r="4" s="28" customFormat="1" ht="14" customHeight="1" spans="1:45">
      <c r="A4" s="39"/>
      <c r="B4" s="37" t="s">
        <v>67</v>
      </c>
      <c r="C4" s="41" t="s">
        <v>125</v>
      </c>
      <c r="D4" s="7" t="s">
        <v>126</v>
      </c>
      <c r="E4" s="7" t="s">
        <v>127</v>
      </c>
      <c r="F4" s="7"/>
      <c r="G4" s="7"/>
      <c r="H4" s="7" t="s">
        <v>128</v>
      </c>
      <c r="I4" s="7"/>
      <c r="J4" s="7" t="s">
        <v>129</v>
      </c>
      <c r="K4" s="7" t="s">
        <v>130</v>
      </c>
      <c r="L4" s="7">
        <v>8</v>
      </c>
      <c r="M4" s="7">
        <v>3660</v>
      </c>
      <c r="N4" s="7">
        <v>2440</v>
      </c>
      <c r="O4" s="7">
        <v>32</v>
      </c>
      <c r="P4" s="7">
        <v>1</v>
      </c>
      <c r="Q4" s="7">
        <v>32</v>
      </c>
      <c r="R4" s="7">
        <v>19.34</v>
      </c>
      <c r="S4" s="7" t="s">
        <v>75</v>
      </c>
      <c r="T4" s="7">
        <v>100</v>
      </c>
      <c r="U4" s="20">
        <v>5626.85</v>
      </c>
      <c r="V4" s="7">
        <v>32</v>
      </c>
      <c r="W4" s="7">
        <v>24.52</v>
      </c>
      <c r="X4" s="7" t="s">
        <v>131</v>
      </c>
      <c r="Y4" s="7"/>
      <c r="Z4" s="20">
        <v>7007.15</v>
      </c>
      <c r="AA4" s="7">
        <v>0</v>
      </c>
      <c r="AB4" s="7">
        <v>5.72</v>
      </c>
      <c r="AC4" s="7">
        <v>150</v>
      </c>
      <c r="AD4" s="7"/>
      <c r="AE4" s="20">
        <v>858</v>
      </c>
      <c r="AF4" s="20"/>
      <c r="AG4" s="20">
        <v>858</v>
      </c>
      <c r="AH4" s="7"/>
      <c r="AI4" s="7">
        <v>522.3</v>
      </c>
      <c r="AJ4" s="7">
        <v>33.43</v>
      </c>
      <c r="AK4" s="7" t="s">
        <v>132</v>
      </c>
      <c r="AL4" s="7" t="s">
        <v>133</v>
      </c>
      <c r="AM4" s="7" t="s">
        <v>134</v>
      </c>
      <c r="AN4" s="7"/>
      <c r="AO4" s="7"/>
      <c r="AP4" s="7"/>
      <c r="AQ4" s="7"/>
      <c r="AR4" s="7"/>
      <c r="AS4" s="7" t="s">
        <v>135</v>
      </c>
    </row>
    <row r="5" s="28" customFormat="1" ht="14" customHeight="1" spans="1:45">
      <c r="A5" s="39"/>
      <c r="B5" s="37" t="s">
        <v>80</v>
      </c>
      <c r="C5" s="41" t="s">
        <v>85</v>
      </c>
      <c r="D5" s="41" t="s">
        <v>85</v>
      </c>
      <c r="E5" s="41" t="s">
        <v>85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2">
        <v>0</v>
      </c>
      <c r="V5" s="7"/>
      <c r="W5" s="7"/>
      <c r="X5" s="7"/>
      <c r="Y5" s="7"/>
      <c r="Z5" s="42">
        <v>0</v>
      </c>
      <c r="AA5" s="7"/>
      <c r="AB5" s="7"/>
      <c r="AC5" s="7"/>
      <c r="AD5" s="7"/>
      <c r="AE5" s="42">
        <v>0</v>
      </c>
      <c r="AF5" s="20">
        <v>0</v>
      </c>
      <c r="AG5" s="42">
        <v>0</v>
      </c>
      <c r="AH5" s="7"/>
      <c r="AI5" s="41" t="s">
        <v>85</v>
      </c>
      <c r="AJ5" s="41" t="s">
        <v>85</v>
      </c>
      <c r="AK5" s="7"/>
      <c r="AL5" s="7"/>
      <c r="AM5" s="7"/>
      <c r="AN5" s="7"/>
      <c r="AO5" s="7"/>
      <c r="AP5" s="7"/>
      <c r="AQ5" s="7"/>
      <c r="AR5" s="7"/>
      <c r="AS5" s="7"/>
    </row>
    <row r="6" spans="1:45">
      <c r="A6" s="43"/>
      <c r="B6" s="2" t="s">
        <v>89</v>
      </c>
      <c r="C6" s="4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>
        <f>U5+U3-U2-U4</f>
        <v>-1713.31</v>
      </c>
      <c r="V6" s="2"/>
      <c r="W6" s="2"/>
      <c r="X6" s="2"/>
      <c r="Y6" s="2"/>
      <c r="Z6" s="3">
        <f>Z5+Z3-Z2-Z4</f>
        <v>-2172.2</v>
      </c>
      <c r="AA6" s="2"/>
      <c r="AB6" s="2"/>
      <c r="AC6" s="2"/>
      <c r="AD6" s="2"/>
      <c r="AE6" s="3">
        <f>AE5+AE3-AE2-AE4</f>
        <v>-267</v>
      </c>
      <c r="AF6" s="3">
        <v>0</v>
      </c>
      <c r="AG6" s="3">
        <f>AG5+AG3-AG2-AG4</f>
        <v>-267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A7" s="45" t="s">
        <v>136</v>
      </c>
      <c r="B7" s="37" t="s">
        <v>67</v>
      </c>
      <c r="C7" s="7" t="s">
        <v>137</v>
      </c>
      <c r="D7" s="7" t="s">
        <v>138</v>
      </c>
      <c r="E7" s="7" t="s">
        <v>139</v>
      </c>
      <c r="F7" s="2"/>
      <c r="G7" s="2"/>
      <c r="H7" s="46" t="s">
        <v>140</v>
      </c>
      <c r="I7" s="2"/>
      <c r="J7" s="7" t="s">
        <v>141</v>
      </c>
      <c r="K7" s="7" t="s">
        <v>130</v>
      </c>
      <c r="L7" s="7">
        <v>6</v>
      </c>
      <c r="M7" s="7">
        <v>3300</v>
      </c>
      <c r="N7" s="7">
        <v>2440</v>
      </c>
      <c r="O7" s="7">
        <v>58</v>
      </c>
      <c r="P7" s="7">
        <v>29</v>
      </c>
      <c r="Q7" s="7">
        <v>2</v>
      </c>
      <c r="R7" s="7">
        <v>13.35</v>
      </c>
      <c r="S7" s="7" t="s">
        <v>131</v>
      </c>
      <c r="T7" s="7"/>
      <c r="U7" s="20">
        <v>6234.66</v>
      </c>
      <c r="V7" s="7">
        <v>58</v>
      </c>
      <c r="W7" s="7">
        <v>16.53</v>
      </c>
      <c r="X7" s="7" t="s">
        <v>131</v>
      </c>
      <c r="Y7" s="2"/>
      <c r="Z7" s="20">
        <v>7719.77</v>
      </c>
      <c r="AA7" s="7">
        <v>0</v>
      </c>
      <c r="AB7" s="7">
        <v>7.01</v>
      </c>
      <c r="AC7" s="7">
        <v>170</v>
      </c>
      <c r="AD7" s="7"/>
      <c r="AE7" s="20">
        <v>1191.7</v>
      </c>
      <c r="AF7" s="20"/>
      <c r="AG7" s="20">
        <v>1191.7</v>
      </c>
      <c r="AH7" s="7"/>
      <c r="AI7" s="7">
        <v>293.41</v>
      </c>
      <c r="AJ7" s="7">
        <v>133.98</v>
      </c>
      <c r="AK7" s="7" t="s">
        <v>142</v>
      </c>
      <c r="AL7" s="7" t="s">
        <v>143</v>
      </c>
      <c r="AM7" s="2"/>
      <c r="AN7" s="2"/>
      <c r="AO7" s="2"/>
      <c r="AP7" s="2"/>
      <c r="AQ7" s="2"/>
      <c r="AR7" s="2"/>
      <c r="AS7" s="7" t="s">
        <v>135</v>
      </c>
    </row>
    <row r="8" customFormat="1" spans="1:45">
      <c r="A8" s="45"/>
      <c r="B8" s="37" t="s">
        <v>80</v>
      </c>
      <c r="C8" s="7" t="s">
        <v>137</v>
      </c>
      <c r="D8" s="7" t="s">
        <v>138</v>
      </c>
      <c r="E8" s="7" t="s">
        <v>139</v>
      </c>
      <c r="F8" s="2"/>
      <c r="G8" s="2"/>
      <c r="H8" s="7" t="s">
        <v>144</v>
      </c>
      <c r="I8" s="2"/>
      <c r="J8" s="7" t="s">
        <v>141</v>
      </c>
      <c r="K8" s="7" t="s">
        <v>130</v>
      </c>
      <c r="L8" s="7">
        <v>6</v>
      </c>
      <c r="M8" s="7">
        <v>3300</v>
      </c>
      <c r="N8" s="7">
        <v>2440</v>
      </c>
      <c r="O8" s="7">
        <v>58</v>
      </c>
      <c r="P8" s="7">
        <v>29</v>
      </c>
      <c r="Q8" s="7">
        <v>2</v>
      </c>
      <c r="R8" s="7">
        <v>13.35</v>
      </c>
      <c r="S8" s="7" t="s">
        <v>131</v>
      </c>
      <c r="T8" s="7"/>
      <c r="U8" s="20">
        <v>6234.66</v>
      </c>
      <c r="V8" s="7">
        <v>58</v>
      </c>
      <c r="W8" s="7">
        <v>16.53</v>
      </c>
      <c r="X8" s="7" t="s">
        <v>131</v>
      </c>
      <c r="Y8" s="2"/>
      <c r="Z8" s="20">
        <v>7719.77</v>
      </c>
      <c r="AA8" s="7">
        <v>0</v>
      </c>
      <c r="AB8" s="7">
        <v>7.01</v>
      </c>
      <c r="AC8" s="7">
        <v>170</v>
      </c>
      <c r="AD8" s="7"/>
      <c r="AE8" s="20">
        <v>1191.7</v>
      </c>
      <c r="AF8" s="20"/>
      <c r="AG8" s="20">
        <v>1191.7</v>
      </c>
      <c r="AH8" s="7"/>
      <c r="AI8" s="7">
        <v>293.41</v>
      </c>
      <c r="AJ8" s="7">
        <v>133.98</v>
      </c>
      <c r="AK8" s="7" t="s">
        <v>142</v>
      </c>
      <c r="AL8" s="7" t="s">
        <v>143</v>
      </c>
      <c r="AM8" s="2"/>
      <c r="AN8" s="2"/>
      <c r="AO8" s="2"/>
      <c r="AP8" s="2"/>
      <c r="AQ8" s="2"/>
      <c r="AR8" s="2"/>
      <c r="AS8" s="7" t="s">
        <v>135</v>
      </c>
    </row>
    <row r="9" customFormat="1" spans="1:45">
      <c r="A9" s="45"/>
      <c r="B9" s="37" t="s">
        <v>67</v>
      </c>
      <c r="C9" s="7" t="s">
        <v>137</v>
      </c>
      <c r="D9" s="7" t="s">
        <v>138</v>
      </c>
      <c r="E9" s="7" t="s">
        <v>139</v>
      </c>
      <c r="F9" s="2"/>
      <c r="G9" s="2"/>
      <c r="H9" s="46" t="s">
        <v>140</v>
      </c>
      <c r="I9" s="2"/>
      <c r="J9" s="7" t="s">
        <v>141</v>
      </c>
      <c r="K9" s="7" t="s">
        <v>130</v>
      </c>
      <c r="L9" s="7">
        <v>5</v>
      </c>
      <c r="M9" s="7">
        <v>3660</v>
      </c>
      <c r="N9" s="7">
        <v>2740</v>
      </c>
      <c r="O9" s="7">
        <v>64</v>
      </c>
      <c r="P9" s="7">
        <v>32</v>
      </c>
      <c r="Q9" s="7">
        <v>2</v>
      </c>
      <c r="R9" s="7">
        <v>11.375</v>
      </c>
      <c r="S9" s="7" t="s">
        <v>131</v>
      </c>
      <c r="T9" s="7">
        <v>120</v>
      </c>
      <c r="U9" s="20">
        <v>7420.68</v>
      </c>
      <c r="V9" s="7">
        <v>64</v>
      </c>
      <c r="W9" s="7">
        <v>13.78</v>
      </c>
      <c r="X9" s="7" t="s">
        <v>131</v>
      </c>
      <c r="Y9" s="2"/>
      <c r="Z9" s="20">
        <v>8844.25</v>
      </c>
      <c r="AA9" s="7">
        <v>0</v>
      </c>
      <c r="AB9" s="7">
        <v>8.02</v>
      </c>
      <c r="AC9" s="7">
        <v>170</v>
      </c>
      <c r="AD9" s="7"/>
      <c r="AE9" s="20">
        <v>1363.4</v>
      </c>
      <c r="AF9" s="20"/>
      <c r="AG9" s="20">
        <v>1363.4</v>
      </c>
      <c r="AH9" s="7"/>
      <c r="AI9" s="7">
        <v>60.17</v>
      </c>
      <c r="AJ9" s="7">
        <v>-122.31</v>
      </c>
      <c r="AK9" s="7" t="s">
        <v>142</v>
      </c>
      <c r="AL9" s="7" t="s">
        <v>143</v>
      </c>
      <c r="AM9" s="2"/>
      <c r="AN9" s="2"/>
      <c r="AO9" s="2"/>
      <c r="AP9" s="2"/>
      <c r="AQ9" s="2"/>
      <c r="AR9" s="2"/>
      <c r="AS9" s="7" t="s">
        <v>135</v>
      </c>
    </row>
    <row r="10" customFormat="1" spans="1:45">
      <c r="A10" s="45"/>
      <c r="B10" s="37" t="s">
        <v>80</v>
      </c>
      <c r="C10" s="7" t="s">
        <v>137</v>
      </c>
      <c r="D10" s="7" t="s">
        <v>138</v>
      </c>
      <c r="E10" s="7" t="s">
        <v>139</v>
      </c>
      <c r="F10" s="2"/>
      <c r="G10" s="2"/>
      <c r="H10" s="7" t="s">
        <v>144</v>
      </c>
      <c r="I10" s="2"/>
      <c r="J10" s="7" t="s">
        <v>141</v>
      </c>
      <c r="K10" s="7" t="s">
        <v>130</v>
      </c>
      <c r="L10" s="7">
        <v>5</v>
      </c>
      <c r="M10" s="7">
        <v>3660</v>
      </c>
      <c r="N10" s="7">
        <v>2740</v>
      </c>
      <c r="O10" s="7">
        <v>64</v>
      </c>
      <c r="P10" s="7">
        <v>32</v>
      </c>
      <c r="Q10" s="7">
        <v>2</v>
      </c>
      <c r="R10" s="7">
        <v>11.375</v>
      </c>
      <c r="S10" s="7" t="s">
        <v>131</v>
      </c>
      <c r="T10" s="7">
        <v>120</v>
      </c>
      <c r="U10" s="20">
        <v>7420.68</v>
      </c>
      <c r="V10" s="7">
        <v>64</v>
      </c>
      <c r="W10" s="7">
        <v>13.78</v>
      </c>
      <c r="X10" s="7" t="s">
        <v>131</v>
      </c>
      <c r="Y10" s="2"/>
      <c r="Z10" s="20">
        <v>8844.25</v>
      </c>
      <c r="AA10" s="7">
        <v>0</v>
      </c>
      <c r="AB10" s="7">
        <v>8.02</v>
      </c>
      <c r="AC10" s="7">
        <v>170</v>
      </c>
      <c r="AD10" s="7"/>
      <c r="AE10" s="20">
        <v>1363.4</v>
      </c>
      <c r="AF10" s="20"/>
      <c r="AG10" s="20">
        <v>1363.4</v>
      </c>
      <c r="AH10" s="7"/>
      <c r="AI10" s="7">
        <v>60.17</v>
      </c>
      <c r="AJ10" s="7">
        <v>-122.31</v>
      </c>
      <c r="AK10" s="7" t="s">
        <v>142</v>
      </c>
      <c r="AL10" s="7" t="s">
        <v>143</v>
      </c>
      <c r="AM10" s="2"/>
      <c r="AN10" s="2"/>
      <c r="AO10" s="2"/>
      <c r="AP10" s="2"/>
      <c r="AQ10" s="2"/>
      <c r="AR10" s="2"/>
      <c r="AS10" s="7" t="s">
        <v>135</v>
      </c>
    </row>
    <row r="11" customFormat="1" spans="1:45">
      <c r="A11" s="45"/>
      <c r="B11" s="37" t="s">
        <v>67</v>
      </c>
      <c r="C11" s="7" t="s">
        <v>85</v>
      </c>
      <c r="D11" s="7" t="s">
        <v>85</v>
      </c>
      <c r="E11" s="7" t="s">
        <v>85</v>
      </c>
      <c r="F11" s="2"/>
      <c r="G11" s="2"/>
      <c r="H11" s="2"/>
      <c r="I11" s="2"/>
      <c r="J11" s="2"/>
      <c r="K11" s="7"/>
      <c r="L11" s="2"/>
      <c r="M11" s="2"/>
      <c r="N11" s="2"/>
      <c r="O11" s="2"/>
      <c r="P11" s="2"/>
      <c r="Q11" s="2"/>
      <c r="R11" s="2"/>
      <c r="S11" s="2"/>
      <c r="T11" s="2"/>
      <c r="U11" s="3">
        <v>0</v>
      </c>
      <c r="V11" s="2"/>
      <c r="W11" s="2"/>
      <c r="X11" s="2"/>
      <c r="Y11" s="2"/>
      <c r="Z11" s="3">
        <v>0</v>
      </c>
      <c r="AA11" s="2"/>
      <c r="AB11" s="2"/>
      <c r="AC11" s="2"/>
      <c r="AD11" s="2"/>
      <c r="AE11" s="3">
        <v>0</v>
      </c>
      <c r="AF11" s="3">
        <v>0</v>
      </c>
      <c r="AG11" s="3">
        <v>0</v>
      </c>
      <c r="AH11" s="2"/>
      <c r="AI11" s="41" t="s">
        <v>85</v>
      </c>
      <c r="AJ11" s="41" t="s">
        <v>85</v>
      </c>
      <c r="AK11" s="2"/>
      <c r="AL11" s="2"/>
      <c r="AM11" s="2"/>
      <c r="AN11" s="2"/>
      <c r="AO11" s="2"/>
      <c r="AP11" s="2"/>
      <c r="AQ11" s="2"/>
      <c r="AR11" s="2"/>
      <c r="AS11" s="2"/>
    </row>
    <row r="12" customFormat="1" spans="1:45">
      <c r="A12" s="45"/>
      <c r="B12" s="37" t="s">
        <v>80</v>
      </c>
      <c r="C12" s="7" t="s">
        <v>137</v>
      </c>
      <c r="D12" s="7" t="s">
        <v>138</v>
      </c>
      <c r="E12" s="7" t="s">
        <v>139</v>
      </c>
      <c r="F12" s="2"/>
      <c r="G12" s="2"/>
      <c r="H12" s="7" t="s">
        <v>144</v>
      </c>
      <c r="I12" s="2"/>
      <c r="J12" s="7" t="s">
        <v>141</v>
      </c>
      <c r="K12" s="7" t="s">
        <v>130</v>
      </c>
      <c r="L12" s="7">
        <v>6</v>
      </c>
      <c r="M12" s="7">
        <v>3300</v>
      </c>
      <c r="N12" s="7">
        <v>2740</v>
      </c>
      <c r="O12" s="7">
        <v>58</v>
      </c>
      <c r="P12" s="7">
        <v>29</v>
      </c>
      <c r="Q12" s="7">
        <v>2</v>
      </c>
      <c r="R12" s="7">
        <v>13.35</v>
      </c>
      <c r="S12" s="7" t="s">
        <v>131</v>
      </c>
      <c r="T12" s="7"/>
      <c r="U12" s="20">
        <v>7001.22</v>
      </c>
      <c r="V12" s="7">
        <v>58</v>
      </c>
      <c r="W12" s="7">
        <v>16.53</v>
      </c>
      <c r="X12" s="7" t="s">
        <v>131</v>
      </c>
      <c r="Y12" s="2"/>
      <c r="Z12" s="20">
        <v>8668.93</v>
      </c>
      <c r="AA12" s="7">
        <v>0</v>
      </c>
      <c r="AB12" s="7">
        <v>7.87</v>
      </c>
      <c r="AC12" s="7">
        <v>170</v>
      </c>
      <c r="AD12" s="7"/>
      <c r="AE12" s="20">
        <v>1337.9</v>
      </c>
      <c r="AF12" s="20">
        <v>0</v>
      </c>
      <c r="AG12" s="20">
        <v>1337.9</v>
      </c>
      <c r="AH12" s="7"/>
      <c r="AI12" s="7">
        <v>329.81</v>
      </c>
      <c r="AJ12" s="7">
        <v>150.8</v>
      </c>
      <c r="AK12" s="7" t="s">
        <v>142</v>
      </c>
      <c r="AL12" s="7" t="s">
        <v>143</v>
      </c>
      <c r="AM12" s="2"/>
      <c r="AN12" s="2"/>
      <c r="AO12" s="2"/>
      <c r="AP12" s="2"/>
      <c r="AQ12" s="2"/>
      <c r="AR12" s="2"/>
      <c r="AS12" s="7" t="s">
        <v>135</v>
      </c>
    </row>
    <row r="13" customFormat="1" spans="1:45">
      <c r="A13" s="45"/>
      <c r="B13" s="2" t="s">
        <v>89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>
        <f>U12-U11+U10-U9+U8-U7</f>
        <v>7001.22</v>
      </c>
      <c r="V13" s="2"/>
      <c r="W13" s="2"/>
      <c r="X13" s="2"/>
      <c r="Y13" s="2"/>
      <c r="Z13" s="3">
        <f>Z12-Z11+Z10-Z9+Z8-Z7</f>
        <v>8668.93</v>
      </c>
      <c r="AA13" s="2"/>
      <c r="AB13" s="2"/>
      <c r="AC13" s="2"/>
      <c r="AD13" s="2"/>
      <c r="AE13" s="3">
        <f t="shared" ref="AE13:AI13" si="0">AE12-AE11+AE10-AE9+AE8-AE7</f>
        <v>1337.9</v>
      </c>
      <c r="AF13" s="3"/>
      <c r="AG13" s="3">
        <f t="shared" si="0"/>
        <v>1337.9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customFormat="1" spans="1:45">
      <c r="A14" s="47" t="s">
        <v>145</v>
      </c>
      <c r="B14" s="37" t="s">
        <v>67</v>
      </c>
      <c r="C14" s="14" t="s">
        <v>146</v>
      </c>
      <c r="D14" s="14" t="s">
        <v>147</v>
      </c>
      <c r="E14" s="14" t="s">
        <v>148</v>
      </c>
      <c r="F14" s="2"/>
      <c r="G14" s="2"/>
      <c r="H14" s="2"/>
      <c r="I14" s="14" t="s">
        <v>149</v>
      </c>
      <c r="J14" s="14" t="s">
        <v>150</v>
      </c>
      <c r="K14" s="14" t="s">
        <v>74</v>
      </c>
      <c r="L14" s="14">
        <v>4.5</v>
      </c>
      <c r="M14" s="14">
        <v>3660</v>
      </c>
      <c r="N14" s="14">
        <v>2440</v>
      </c>
      <c r="O14" s="14">
        <v>340</v>
      </c>
      <c r="P14" s="14">
        <v>34</v>
      </c>
      <c r="Q14" s="14">
        <v>10</v>
      </c>
      <c r="R14" s="14">
        <v>15.525</v>
      </c>
      <c r="S14" s="14" t="s">
        <v>131</v>
      </c>
      <c r="T14" s="2"/>
      <c r="U14" s="15">
        <v>47139.12</v>
      </c>
      <c r="V14" s="14">
        <v>340</v>
      </c>
      <c r="W14" s="14">
        <v>15.3</v>
      </c>
      <c r="X14" s="14" t="s">
        <v>75</v>
      </c>
      <c r="Y14" s="2"/>
      <c r="Z14" s="15">
        <v>46455.94</v>
      </c>
      <c r="AA14" s="14">
        <v>0</v>
      </c>
      <c r="AB14" s="14">
        <v>34316</v>
      </c>
      <c r="AC14" s="14">
        <v>75</v>
      </c>
      <c r="AD14" s="14"/>
      <c r="AE14" s="15">
        <v>2562</v>
      </c>
      <c r="AF14" s="3"/>
      <c r="AG14" s="15">
        <v>2562</v>
      </c>
      <c r="AH14" s="14"/>
      <c r="AI14" s="14">
        <v>-3245.18</v>
      </c>
      <c r="AJ14" s="14">
        <v>43.6</v>
      </c>
      <c r="AK14" s="14" t="s">
        <v>151</v>
      </c>
      <c r="AL14" s="14" t="s">
        <v>152</v>
      </c>
      <c r="AM14" s="14"/>
      <c r="AN14" s="2"/>
      <c r="AO14" s="2"/>
      <c r="AP14" s="2"/>
      <c r="AQ14" s="2"/>
      <c r="AR14" s="2"/>
      <c r="AS14" s="2"/>
    </row>
    <row r="15" customFormat="1" spans="1:45">
      <c r="A15" s="48"/>
      <c r="B15" s="37" t="s">
        <v>80</v>
      </c>
      <c r="C15" s="14" t="s">
        <v>146</v>
      </c>
      <c r="D15" s="14" t="s">
        <v>147</v>
      </c>
      <c r="E15" s="14" t="s">
        <v>148</v>
      </c>
      <c r="F15" s="2"/>
      <c r="G15" s="2"/>
      <c r="H15" s="2"/>
      <c r="I15" s="14" t="s">
        <v>149</v>
      </c>
      <c r="J15" s="14" t="s">
        <v>150</v>
      </c>
      <c r="K15" s="14" t="s">
        <v>74</v>
      </c>
      <c r="L15" s="14">
        <v>4.5</v>
      </c>
      <c r="M15" s="14">
        <v>3660</v>
      </c>
      <c r="N15" s="14">
        <v>2440</v>
      </c>
      <c r="O15" s="14">
        <v>337</v>
      </c>
      <c r="P15" s="14">
        <v>34</v>
      </c>
      <c r="Q15" s="14">
        <v>10</v>
      </c>
      <c r="R15" s="14">
        <v>15.525</v>
      </c>
      <c r="S15" s="14" t="s">
        <v>131</v>
      </c>
      <c r="T15" s="2"/>
      <c r="U15" s="15">
        <v>46723.18</v>
      </c>
      <c r="V15" s="14">
        <v>339</v>
      </c>
      <c r="W15" s="14">
        <v>15.3</v>
      </c>
      <c r="X15" s="14" t="s">
        <v>75</v>
      </c>
      <c r="Y15" s="2"/>
      <c r="Z15" s="15">
        <v>46319.31</v>
      </c>
      <c r="AA15" s="14">
        <v>0</v>
      </c>
      <c r="AB15" s="14">
        <v>33.86</v>
      </c>
      <c r="AC15" s="14">
        <v>75</v>
      </c>
      <c r="AD15" s="14">
        <v>113.99</v>
      </c>
      <c r="AE15" s="15">
        <v>2653.49</v>
      </c>
      <c r="AF15" s="3"/>
      <c r="AG15" s="15">
        <v>2653.49</v>
      </c>
      <c r="AH15" s="14"/>
      <c r="AI15" s="14">
        <v>-3057.36</v>
      </c>
      <c r="AJ15" s="14">
        <v>202.4</v>
      </c>
      <c r="AK15" s="14" t="s">
        <v>151</v>
      </c>
      <c r="AL15" s="14" t="s">
        <v>152</v>
      </c>
      <c r="AM15" s="14" t="s">
        <v>153</v>
      </c>
      <c r="AN15" s="2"/>
      <c r="AO15" s="2"/>
      <c r="AP15" s="2"/>
      <c r="AQ15" s="2"/>
      <c r="AR15" s="2"/>
      <c r="AS15" s="14" t="s">
        <v>154</v>
      </c>
    </row>
    <row r="16" customFormat="1" spans="1:45">
      <c r="A16" s="49"/>
      <c r="B16" s="2" t="s">
        <v>89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>
        <f>U15-U14</f>
        <v>-415.940000000002</v>
      </c>
      <c r="V16" s="2"/>
      <c r="W16" s="2"/>
      <c r="X16" s="2"/>
      <c r="Y16" s="2"/>
      <c r="Z16" s="3">
        <f>Z15-Z14</f>
        <v>-136.630000000005</v>
      </c>
      <c r="AA16" s="2"/>
      <c r="AB16" s="2"/>
      <c r="AC16" s="2"/>
      <c r="AD16" s="2"/>
      <c r="AE16" s="3">
        <f>AE15-AE14</f>
        <v>91.4899999999998</v>
      </c>
      <c r="AF16" s="3">
        <f>AF15-AF14</f>
        <v>0</v>
      </c>
      <c r="AG16" s="3">
        <f>AG15-AG14</f>
        <v>91.4899999999998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customFormat="1" spans="1:45">
      <c r="A17" s="8" t="s">
        <v>90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f>U13+U6+U16</f>
        <v>4871.97</v>
      </c>
      <c r="V17" s="8"/>
      <c r="W17" s="8"/>
      <c r="X17" s="8"/>
      <c r="Y17" s="8"/>
      <c r="Z17" s="8">
        <f>Z13+Z6+Z16</f>
        <v>6360.1</v>
      </c>
      <c r="AA17" s="8"/>
      <c r="AB17" s="8"/>
      <c r="AC17" s="8"/>
      <c r="AD17" s="8"/>
      <c r="AE17" s="8"/>
      <c r="AF17" s="8"/>
      <c r="AG17" s="8">
        <f>AG13+AG6</f>
        <v>1070.9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21" spans="1:45">
      <c r="A21" s="1" t="s">
        <v>155</v>
      </c>
      <c r="B21" s="1"/>
      <c r="C21" s="2">
        <f>Z17</f>
        <v>6360.1</v>
      </c>
    </row>
    <row r="22" spans="1:45">
      <c r="A22" s="1" t="s">
        <v>156</v>
      </c>
      <c r="B22" s="1"/>
      <c r="C22" s="2">
        <f>U6+U13</f>
        <v>5287.91</v>
      </c>
    </row>
    <row r="23" spans="1:45">
      <c r="A23" s="1" t="s">
        <v>157</v>
      </c>
      <c r="B23" s="1"/>
      <c r="C23" s="2">
        <f>U16</f>
        <v>-415.940000000002</v>
      </c>
    </row>
    <row r="24" spans="1:45">
      <c r="A24" s="1" t="s">
        <v>158</v>
      </c>
      <c r="B24" s="1"/>
      <c r="C24" s="2">
        <f>AG17</f>
        <v>1070.9</v>
      </c>
    </row>
    <row r="29" ht="25.1" spans="1:45">
      <c r="A29" t="s">
        <v>159</v>
      </c>
      <c r="B29" t="str">
        <f>_xlfn.DISPIMG("ID_E93D1BDB5B52421AB2012D14E6A925D7",1)</f>
        <v>=DISPIMG("ID_E93D1BDB5B52421AB2012D14E6A925D7",1)</v>
      </c>
      <c r="C29" t="s">
        <v>160</v>
      </c>
      <c r="D29" t="str">
        <f>_xlfn.DISPIMG("ID_00B8C89DE85A41CAA7EDF2EDD4559D47",1)</f>
        <v>=DISPIMG("ID_00B8C89DE85A41CAA7EDF2EDD4559D47",1)</v>
      </c>
      <c r="E29" t="s">
        <v>161</v>
      </c>
      <c r="F29" t="s">
        <v>162</v>
      </c>
    </row>
    <row r="30" ht="38.95" spans="1:45">
      <c r="A30" t="s">
        <v>163</v>
      </c>
      <c r="B30" t="str">
        <f>_xlfn.DISPIMG("ID_2198608090F94BD49E67FD22C8076FBE",1)</f>
        <v>=DISPIMG("ID_2198608090F94BD49E67FD22C8076FBE",1)</v>
      </c>
      <c r="C30" t="s">
        <v>164</v>
      </c>
      <c r="D30" t="str">
        <f>_xlfn.DISPIMG("ID_4A28CD52F4BA4847AF2AF8729E54B9F8",1)</f>
        <v>=DISPIMG("ID_4A28CD52F4BA4847AF2AF8729E54B9F8",1)</v>
      </c>
      <c r="E30" t="s">
        <v>161</v>
      </c>
      <c r="F30" t="s">
        <v>165</v>
      </c>
    </row>
    <row r="31" ht="28.5" spans="1:45">
      <c r="A31" t="s">
        <v>166</v>
      </c>
      <c r="C31" t="s">
        <v>167</v>
      </c>
      <c r="D31" t="str">
        <f>_xlfn.DISPIMG("ID_970036419252402EAF57F9DAFDD07E35",1)</f>
        <v>=DISPIMG("ID_970036419252402EAF57F9DAFDD07E35",1)</v>
      </c>
      <c r="E31" t="s">
        <v>161</v>
      </c>
      <c r="F31" t="s">
        <v>168</v>
      </c>
    </row>
    <row r="32" spans="1:45">
      <c r="AB32" t="s">
        <v>169</v>
      </c>
    </row>
  </sheetData>
  <mergeCells count="6">
    <mergeCell ref="A21:B21"/>
    <mergeCell ref="A22:B22"/>
    <mergeCell ref="A23:B23"/>
    <mergeCell ref="A24:B24"/>
    <mergeCell ref="A2:A6"/>
    <mergeCell ref="A7:A1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zoomScale="85" zoomScaleNormal="85" workbookViewId="0">
      <selection activeCell="M14" sqref="M14"/>
    </sheetView>
  </sheetViews>
  <sheetFormatPr defaultColWidth="9.11111111111111" defaultRowHeight="14.4"/>
  <cols>
    <col min="1" max="1" width="20.8888888888889" customWidth="1"/>
    <col min="2" max="2" width="33.2222222222222" customWidth="1"/>
    <col min="3" max="3" width="11.1111111111111" customWidth="1"/>
    <col min="4" max="6" width="9.66666666666667" customWidth="1"/>
    <col min="7" max="7" width="13.4444444444444" customWidth="1"/>
    <col min="8" max="8" width="26.1111111111111" customWidth="1"/>
    <col min="9" max="9" width="6.66666666666667" customWidth="1"/>
    <col min="10" max="10" width="9.66666666666667" customWidth="1"/>
    <col min="11" max="11" width="14.1111111111111" customWidth="1"/>
    <col min="12" max="12" width="9.66666666666667" customWidth="1"/>
    <col min="13" max="14" width="26.1111111111111" customWidth="1"/>
    <col min="15" max="15" width="6.66666666666667" customWidth="1"/>
    <col min="16" max="17" width="9.66666666666667" customWidth="1"/>
    <col min="18" max="19" width="14.1111111111111" customWidth="1"/>
    <col min="20" max="20" width="9.66666666666667" customWidth="1"/>
    <col min="21" max="21" width="5.66666666666667" customWidth="1"/>
    <col min="22" max="16384" width="9.11111111111111" customWidth="1"/>
  </cols>
  <sheetData>
    <row r="1" s="4" customFormat="1" spans="1:21">
      <c r="B1" s="4" t="s">
        <v>24</v>
      </c>
      <c r="C1" s="5" t="s">
        <v>170</v>
      </c>
      <c r="D1" s="11" t="s">
        <v>171</v>
      </c>
      <c r="E1" s="11" t="s">
        <v>172</v>
      </c>
      <c r="F1" s="11" t="s">
        <v>173</v>
      </c>
      <c r="G1" s="11" t="s">
        <v>174</v>
      </c>
      <c r="H1" s="11" t="s">
        <v>175</v>
      </c>
      <c r="I1" s="11" t="s">
        <v>176</v>
      </c>
      <c r="J1" s="11" t="s">
        <v>177</v>
      </c>
      <c r="K1" s="11" t="s">
        <v>178</v>
      </c>
      <c r="L1" s="11" t="s">
        <v>173</v>
      </c>
      <c r="M1" s="11" t="s">
        <v>174</v>
      </c>
      <c r="N1" s="11" t="s">
        <v>175</v>
      </c>
      <c r="O1" s="11" t="s">
        <v>176</v>
      </c>
      <c r="P1" s="11" t="s">
        <v>179</v>
      </c>
      <c r="Q1" s="11" t="s">
        <v>180</v>
      </c>
      <c r="R1" s="11" t="s">
        <v>181</v>
      </c>
      <c r="S1" s="11" t="s">
        <v>182</v>
      </c>
      <c r="T1" s="11" t="s">
        <v>183</v>
      </c>
      <c r="U1" s="11" t="s">
        <v>59</v>
      </c>
    </row>
    <row r="2" spans="1:21">
      <c r="A2" s="1" t="s">
        <v>184</v>
      </c>
      <c r="B2" s="2" t="s">
        <v>67</v>
      </c>
      <c r="C2" s="29" t="s">
        <v>146</v>
      </c>
      <c r="D2" s="14" t="s">
        <v>185</v>
      </c>
      <c r="E2" s="14">
        <v>501216</v>
      </c>
      <c r="F2" s="14" t="s">
        <v>71</v>
      </c>
      <c r="G2" s="14" t="s">
        <v>71</v>
      </c>
      <c r="H2" s="14" t="s">
        <v>71</v>
      </c>
      <c r="I2" s="14"/>
      <c r="J2" s="14"/>
      <c r="K2" s="14">
        <v>0</v>
      </c>
      <c r="L2" s="30" t="s">
        <v>115</v>
      </c>
      <c r="M2" s="14" t="s">
        <v>186</v>
      </c>
      <c r="N2" s="14" t="s">
        <v>186</v>
      </c>
      <c r="O2" s="14">
        <v>0.068</v>
      </c>
      <c r="P2" s="14">
        <v>34082.69</v>
      </c>
      <c r="Q2" s="14"/>
      <c r="R2" s="14"/>
      <c r="S2" s="14" t="s">
        <v>71</v>
      </c>
      <c r="T2" s="14">
        <v>0</v>
      </c>
      <c r="U2" s="14" t="s">
        <v>71</v>
      </c>
    </row>
    <row r="3" spans="1:21">
      <c r="A3" s="1"/>
      <c r="B3" s="8" t="s">
        <v>80</v>
      </c>
      <c r="C3" s="31" t="s">
        <v>146</v>
      </c>
      <c r="D3" s="32" t="s">
        <v>185</v>
      </c>
      <c r="E3" s="32">
        <v>501216</v>
      </c>
      <c r="F3" s="32" t="s">
        <v>71</v>
      </c>
      <c r="G3" s="32" t="s">
        <v>71</v>
      </c>
      <c r="H3" s="32" t="s">
        <v>71</v>
      </c>
      <c r="I3" s="32"/>
      <c r="J3" s="32"/>
      <c r="K3" s="32">
        <v>0</v>
      </c>
      <c r="L3" s="33" t="s">
        <v>30</v>
      </c>
      <c r="M3" s="32" t="s">
        <v>186</v>
      </c>
      <c r="N3" s="32" t="s">
        <v>186</v>
      </c>
      <c r="O3" s="32">
        <v>0.068</v>
      </c>
      <c r="P3" s="32">
        <v>34082.69</v>
      </c>
      <c r="Q3" s="32"/>
      <c r="R3" s="32"/>
      <c r="S3" s="32" t="s">
        <v>71</v>
      </c>
      <c r="T3" s="32">
        <v>0</v>
      </c>
      <c r="U3" s="32" t="s">
        <v>71</v>
      </c>
    </row>
    <row r="4" spans="1:21">
      <c r="A4" s="1" t="s">
        <v>187</v>
      </c>
      <c r="B4" s="2" t="s">
        <v>67</v>
      </c>
      <c r="C4" s="29" t="s">
        <v>188</v>
      </c>
      <c r="D4" s="14" t="s">
        <v>189</v>
      </c>
      <c r="E4" s="14">
        <v>10000</v>
      </c>
      <c r="F4" s="14" t="s">
        <v>115</v>
      </c>
      <c r="G4" s="14" t="s">
        <v>190</v>
      </c>
      <c r="H4" s="14" t="s">
        <v>191</v>
      </c>
      <c r="I4" s="14">
        <v>0.08</v>
      </c>
      <c r="J4" s="14">
        <v>800</v>
      </c>
      <c r="K4" s="14">
        <v>0</v>
      </c>
      <c r="L4" s="14" t="s">
        <v>71</v>
      </c>
      <c r="M4" s="14" t="s">
        <v>71</v>
      </c>
      <c r="N4" s="14" t="s">
        <v>71</v>
      </c>
      <c r="O4" s="14"/>
      <c r="P4" s="14"/>
      <c r="Q4" s="14"/>
      <c r="R4" s="14"/>
      <c r="S4" s="14" t="s">
        <v>71</v>
      </c>
      <c r="T4" s="14">
        <v>0</v>
      </c>
      <c r="U4" s="14" t="s">
        <v>71</v>
      </c>
    </row>
    <row r="5" spans="1:21">
      <c r="A5" s="1"/>
      <c r="B5" s="8" t="s">
        <v>80</v>
      </c>
      <c r="C5" s="31" t="s">
        <v>188</v>
      </c>
      <c r="D5" s="32" t="s">
        <v>189</v>
      </c>
      <c r="E5" s="32">
        <v>10000</v>
      </c>
      <c r="F5" s="32" t="s">
        <v>115</v>
      </c>
      <c r="G5" s="32" t="s">
        <v>190</v>
      </c>
      <c r="H5" s="32" t="s">
        <v>191</v>
      </c>
      <c r="I5" s="32">
        <v>0.082</v>
      </c>
      <c r="J5" s="32">
        <v>820</v>
      </c>
      <c r="K5" s="32">
        <v>0</v>
      </c>
      <c r="L5" s="32" t="s">
        <v>71</v>
      </c>
      <c r="M5" s="32" t="s">
        <v>71</v>
      </c>
      <c r="N5" s="32" t="s">
        <v>71</v>
      </c>
      <c r="O5" s="32"/>
      <c r="P5" s="32"/>
      <c r="Q5" s="32"/>
      <c r="R5" s="32"/>
      <c r="S5" s="32" t="s">
        <v>71</v>
      </c>
      <c r="T5" s="32">
        <v>0</v>
      </c>
      <c r="U5" s="32" t="s">
        <v>71</v>
      </c>
    </row>
    <row r="6" s="28" customFormat="1" ht="14" customHeight="1" spans="1:21">
      <c r="A6" s="1" t="s">
        <v>192</v>
      </c>
      <c r="B6" s="2" t="s">
        <v>67</v>
      </c>
      <c r="C6" s="29" t="s">
        <v>68</v>
      </c>
      <c r="D6" s="14" t="s">
        <v>71</v>
      </c>
      <c r="E6" s="14">
        <v>50320</v>
      </c>
      <c r="F6" s="14" t="s">
        <v>115</v>
      </c>
      <c r="G6" s="14" t="s">
        <v>193</v>
      </c>
      <c r="H6" s="14" t="s">
        <v>194</v>
      </c>
      <c r="I6" s="14">
        <v>0.02</v>
      </c>
      <c r="J6" s="14">
        <v>1006.4</v>
      </c>
      <c r="K6" s="14">
        <v>0</v>
      </c>
      <c r="L6" s="14" t="s">
        <v>30</v>
      </c>
      <c r="M6" s="14" t="s">
        <v>195</v>
      </c>
      <c r="N6" s="14" t="s">
        <v>194</v>
      </c>
      <c r="O6" s="14">
        <v>0.02</v>
      </c>
      <c r="P6" s="14">
        <v>1006.4</v>
      </c>
      <c r="Q6" s="14">
        <v>0</v>
      </c>
      <c r="R6" s="14"/>
      <c r="S6" s="14" t="s">
        <v>71</v>
      </c>
      <c r="T6" s="14">
        <v>0</v>
      </c>
      <c r="U6" s="14" t="s">
        <v>71</v>
      </c>
    </row>
    <row r="7" s="28" customFormat="1" ht="14" customHeight="1" spans="1:21">
      <c r="A7" s="1"/>
      <c r="B7" s="8" t="s">
        <v>80</v>
      </c>
      <c r="C7" s="31" t="s">
        <v>68</v>
      </c>
      <c r="D7" s="32" t="s">
        <v>71</v>
      </c>
      <c r="E7" s="32">
        <v>50320</v>
      </c>
      <c r="F7" s="32" t="s">
        <v>115</v>
      </c>
      <c r="G7" s="32" t="s">
        <v>193</v>
      </c>
      <c r="H7" s="32" t="s">
        <v>194</v>
      </c>
      <c r="I7" s="32">
        <v>0.03</v>
      </c>
      <c r="J7" s="32">
        <v>1509.6</v>
      </c>
      <c r="K7" s="32">
        <v>0</v>
      </c>
      <c r="L7" s="32" t="s">
        <v>30</v>
      </c>
      <c r="M7" s="32" t="s">
        <v>195</v>
      </c>
      <c r="N7" s="32" t="s">
        <v>194</v>
      </c>
      <c r="O7" s="32">
        <v>0.02</v>
      </c>
      <c r="P7" s="32">
        <v>1509.6</v>
      </c>
      <c r="Q7" s="32">
        <v>0</v>
      </c>
      <c r="R7" s="32"/>
      <c r="S7" s="32" t="s">
        <v>71</v>
      </c>
      <c r="T7" s="32">
        <v>0</v>
      </c>
      <c r="U7" s="32" t="s">
        <v>71</v>
      </c>
    </row>
    <row r="10" spans="1:21">
      <c r="A10" t="s">
        <v>196</v>
      </c>
    </row>
    <row r="11" spans="1:21">
      <c r="A11" t="s">
        <v>197</v>
      </c>
    </row>
    <row r="12" spans="1:21">
      <c r="A12" t="s">
        <v>198</v>
      </c>
    </row>
    <row r="14" spans="1:21">
      <c r="G14" s="34" t="s">
        <v>199</v>
      </c>
      <c r="H14" s="34"/>
      <c r="I14" s="34"/>
      <c r="J14" s="34"/>
      <c r="K14" s="34"/>
    </row>
    <row r="15" spans="1:21">
      <c r="G15" s="34"/>
      <c r="H15" s="34"/>
      <c r="I15" s="34"/>
      <c r="J15" s="34"/>
      <c r="K15" s="34"/>
    </row>
    <row r="16" spans="1:21">
      <c r="G16" s="34"/>
      <c r="H16" s="34"/>
      <c r="I16" s="34"/>
      <c r="J16" s="34"/>
      <c r="K16" s="34"/>
    </row>
    <row r="17" spans="1:11">
      <c r="A17" s="2" t="s">
        <v>200</v>
      </c>
      <c r="B17" s="2">
        <f>J4+J6-P2</f>
        <v>-32276.29</v>
      </c>
      <c r="G17" s="34"/>
      <c r="H17" s="34"/>
      <c r="I17" s="34"/>
      <c r="J17" s="34"/>
      <c r="K17" s="34"/>
    </row>
    <row r="18" spans="1:11">
      <c r="A18" s="2" t="s">
        <v>201</v>
      </c>
      <c r="B18" s="2">
        <f>J7+J5-0</f>
        <v>2329.6</v>
      </c>
      <c r="G18" s="34"/>
      <c r="H18" s="34"/>
      <c r="I18" s="34"/>
      <c r="J18" s="34"/>
      <c r="K18" s="34"/>
    </row>
    <row r="19" spans="1:11">
      <c r="A19" s="2" t="s">
        <v>202</v>
      </c>
      <c r="B19" s="2">
        <f>B18-B17</f>
        <v>34605.89</v>
      </c>
      <c r="G19" s="34"/>
      <c r="H19" s="34"/>
      <c r="I19" s="34"/>
      <c r="J19" s="34"/>
      <c r="K19" s="34"/>
    </row>
    <row r="20" spans="1:11">
      <c r="G20" s="34"/>
      <c r="H20" s="34"/>
      <c r="I20" s="34"/>
      <c r="J20" s="34"/>
      <c r="K20" s="34"/>
    </row>
    <row r="21" spans="1:11">
      <c r="G21" s="34"/>
      <c r="H21" s="34"/>
      <c r="I21" s="34"/>
      <c r="J21" s="34"/>
      <c r="K21" s="34"/>
    </row>
    <row r="25" spans="1:11">
      <c r="A25" s="2" t="s">
        <v>203</v>
      </c>
      <c r="B25" s="2">
        <f>P6-B26</f>
        <v>-34585.89</v>
      </c>
    </row>
    <row r="26" spans="1:11">
      <c r="A26" s="2" t="s">
        <v>204</v>
      </c>
      <c r="B26" s="2">
        <f>P3+P7-0</f>
        <v>35592.29</v>
      </c>
    </row>
    <row r="27" spans="1:11">
      <c r="A27" s="2" t="s">
        <v>205</v>
      </c>
      <c r="B27" s="2">
        <f>B26-B25</f>
        <v>70178.18</v>
      </c>
    </row>
  </sheetData>
  <mergeCells count="4">
    <mergeCell ref="A2:A3"/>
    <mergeCell ref="A4:A5"/>
    <mergeCell ref="A6:A7"/>
    <mergeCell ref="G14:K21"/>
  </mergeCells>
  <dataValidations count="2">
    <dataValidation type="custom" allowBlank="1" showInputMessage="1" showErrorMessage="1" prompt="0表示不是,大于0表示对应的订单id" sqref="K4:K5">
      <formula1>DD5</formula1>
    </dataValidation>
    <dataValidation type="custom" allowBlank="1" showInputMessage="1" showErrorMessage="1" prompt="0表示不是,大于0表示对应的订单id" sqref="K6:K7">
      <formula1>DD6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29" sqref="A29"/>
    </sheetView>
  </sheetViews>
  <sheetFormatPr defaultColWidth="8.88888888888889" defaultRowHeight="14.4"/>
  <cols>
    <col min="1" max="1" width="15.2222222222222" customWidth="1"/>
    <col min="2" max="2" width="7.66666666666667" customWidth="1"/>
    <col min="3" max="3" width="20.2222222222222" customWidth="1"/>
    <col min="4" max="4" width="23.4444444444444" customWidth="1"/>
    <col min="5" max="5" width="26.1111111111111" customWidth="1"/>
    <col min="6" max="6" width="14.1111111111111" customWidth="1"/>
    <col min="7" max="7" width="6.66666666666667" customWidth="1"/>
    <col min="8" max="8" width="16.2222222222222" customWidth="1"/>
    <col min="9" max="9" width="20.8888888888889" customWidth="1"/>
    <col min="10" max="10" width="21.8888888888889" customWidth="1"/>
    <col min="11" max="11" width="26.1111111111111" customWidth="1"/>
    <col min="12" max="12" width="22" customWidth="1"/>
    <col min="13" max="13" width="11.8888888888889" customWidth="1"/>
    <col min="14" max="14" width="91.6666666666667" customWidth="1"/>
  </cols>
  <sheetData>
    <row r="1" spans="1:14">
      <c r="A1" s="4"/>
      <c r="B1" s="4" t="s">
        <v>24</v>
      </c>
      <c r="C1" s="5" t="s">
        <v>206</v>
      </c>
      <c r="D1" s="5" t="s">
        <v>207</v>
      </c>
      <c r="E1" s="5" t="s">
        <v>208</v>
      </c>
      <c r="F1" s="5" t="s">
        <v>209</v>
      </c>
      <c r="G1" s="5" t="s">
        <v>1</v>
      </c>
      <c r="H1" s="5" t="s">
        <v>210</v>
      </c>
      <c r="I1" s="5" t="s">
        <v>211</v>
      </c>
      <c r="J1" s="5" t="s">
        <v>212</v>
      </c>
      <c r="K1" s="5" t="s">
        <v>213</v>
      </c>
      <c r="L1" s="5" t="s">
        <v>214</v>
      </c>
      <c r="M1" s="5" t="s">
        <v>215</v>
      </c>
      <c r="N1" s="5" t="s">
        <v>59</v>
      </c>
    </row>
    <row r="2" spans="1:14">
      <c r="A2" s="1" t="s">
        <v>216</v>
      </c>
      <c r="B2" s="2" t="s">
        <v>67</v>
      </c>
      <c r="C2" s="1" t="s">
        <v>85</v>
      </c>
      <c r="D2" s="1" t="s">
        <v>85</v>
      </c>
      <c r="E2" s="1" t="s">
        <v>85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1"/>
      <c r="B3" s="8" t="s">
        <v>80</v>
      </c>
      <c r="C3" s="7" t="s">
        <v>217</v>
      </c>
      <c r="D3" s="7" t="s">
        <v>218</v>
      </c>
      <c r="E3" s="7" t="s">
        <v>219</v>
      </c>
      <c r="F3" s="7" t="s">
        <v>115</v>
      </c>
      <c r="G3" s="7">
        <v>45460</v>
      </c>
      <c r="H3" s="7" t="s">
        <v>220</v>
      </c>
      <c r="I3" s="7" t="s">
        <v>221</v>
      </c>
      <c r="J3" s="7" t="s">
        <v>222</v>
      </c>
      <c r="K3" s="7" t="s">
        <v>223</v>
      </c>
      <c r="L3" s="7" t="s">
        <v>224</v>
      </c>
      <c r="M3" s="7" t="s">
        <v>71</v>
      </c>
      <c r="N3" s="7" t="s">
        <v>71</v>
      </c>
    </row>
    <row r="4" spans="1:14">
      <c r="A4" s="1"/>
      <c r="B4" s="2" t="s">
        <v>89</v>
      </c>
      <c r="C4" s="2"/>
      <c r="D4" s="2"/>
      <c r="E4" s="2"/>
      <c r="F4" s="2"/>
      <c r="G4" s="2">
        <f>G3-G2</f>
        <v>45460</v>
      </c>
      <c r="H4" s="2"/>
      <c r="I4" s="2"/>
      <c r="J4" s="2"/>
      <c r="K4" s="2"/>
      <c r="L4" s="2"/>
      <c r="M4" s="2"/>
      <c r="N4" s="2"/>
    </row>
    <row r="5" spans="1:14">
      <c r="A5" s="1" t="s">
        <v>225</v>
      </c>
      <c r="B5" s="2" t="s">
        <v>67</v>
      </c>
      <c r="C5" s="7" t="s">
        <v>226</v>
      </c>
      <c r="D5" s="7" t="s">
        <v>218</v>
      </c>
      <c r="E5" s="7" t="s">
        <v>227</v>
      </c>
      <c r="F5" s="7" t="s">
        <v>115</v>
      </c>
      <c r="G5" s="7">
        <v>2762</v>
      </c>
      <c r="H5" s="7" t="s">
        <v>228</v>
      </c>
      <c r="I5" s="7" t="s">
        <v>229</v>
      </c>
      <c r="J5" s="7" t="s">
        <v>230</v>
      </c>
      <c r="K5" s="7" t="s">
        <v>231</v>
      </c>
      <c r="L5" s="7" t="s">
        <v>231</v>
      </c>
      <c r="M5" s="7" t="s">
        <v>231</v>
      </c>
      <c r="N5" s="7" t="s">
        <v>71</v>
      </c>
    </row>
    <row r="6" spans="1:14">
      <c r="A6" s="1"/>
      <c r="B6" s="8" t="s">
        <v>80</v>
      </c>
      <c r="C6" s="1" t="s">
        <v>85</v>
      </c>
      <c r="D6" s="1" t="s">
        <v>85</v>
      </c>
      <c r="E6" s="1" t="s">
        <v>85</v>
      </c>
      <c r="F6" s="2"/>
      <c r="G6" s="2"/>
      <c r="H6" s="2"/>
      <c r="I6" s="2"/>
      <c r="J6" s="2"/>
      <c r="K6" s="2"/>
      <c r="L6" s="2"/>
      <c r="M6" s="2"/>
      <c r="N6" s="2"/>
    </row>
    <row r="7" spans="1:14">
      <c r="A7" s="1"/>
      <c r="B7" s="2" t="s">
        <v>89</v>
      </c>
      <c r="C7" s="2"/>
      <c r="D7" s="2"/>
      <c r="E7" s="2"/>
      <c r="F7" s="2"/>
      <c r="G7" s="2">
        <f>G6-G5</f>
        <v>-2762</v>
      </c>
      <c r="H7" s="2"/>
      <c r="I7" s="2"/>
      <c r="J7" s="2"/>
      <c r="K7" s="2"/>
      <c r="L7" s="2"/>
      <c r="M7" s="2"/>
      <c r="N7" s="2"/>
    </row>
    <row r="8" spans="1:14">
      <c r="A8" s="1" t="s">
        <v>232</v>
      </c>
      <c r="B8" s="2" t="s">
        <v>67</v>
      </c>
      <c r="C8" s="7" t="s">
        <v>233</v>
      </c>
      <c r="D8" s="7" t="s">
        <v>218</v>
      </c>
      <c r="E8" s="7" t="s">
        <v>234</v>
      </c>
      <c r="F8" s="7" t="s">
        <v>115</v>
      </c>
      <c r="G8" s="7">
        <v>82159</v>
      </c>
      <c r="H8" s="7" t="s">
        <v>235</v>
      </c>
      <c r="I8" s="7" t="s">
        <v>236</v>
      </c>
      <c r="J8" s="7" t="s">
        <v>237</v>
      </c>
      <c r="K8" s="7" t="s">
        <v>238</v>
      </c>
      <c r="L8" s="7" t="s">
        <v>239</v>
      </c>
      <c r="M8" s="7" t="s">
        <v>71</v>
      </c>
      <c r="N8" s="7" t="s">
        <v>71</v>
      </c>
    </row>
    <row r="9" spans="1:14">
      <c r="A9" s="1"/>
      <c r="B9" s="8" t="s">
        <v>80</v>
      </c>
      <c r="C9" s="7" t="s">
        <v>233</v>
      </c>
      <c r="D9" s="7" t="s">
        <v>218</v>
      </c>
      <c r="E9" s="7" t="s">
        <v>234</v>
      </c>
      <c r="F9" s="7" t="s">
        <v>115</v>
      </c>
      <c r="G9" s="7">
        <v>82059</v>
      </c>
      <c r="H9" s="7" t="s">
        <v>235</v>
      </c>
      <c r="I9" s="7" t="s">
        <v>236</v>
      </c>
      <c r="J9" s="7" t="s">
        <v>237</v>
      </c>
      <c r="K9" s="7" t="s">
        <v>238</v>
      </c>
      <c r="L9" s="7" t="s">
        <v>239</v>
      </c>
      <c r="M9" s="7" t="s">
        <v>71</v>
      </c>
      <c r="N9" s="7" t="s">
        <v>71</v>
      </c>
    </row>
    <row r="10" spans="1:14">
      <c r="A10" s="1"/>
      <c r="B10" s="2" t="s">
        <v>89</v>
      </c>
      <c r="C10" s="2"/>
      <c r="D10" s="2"/>
      <c r="E10" s="2"/>
      <c r="F10" s="2"/>
      <c r="G10" s="2">
        <f>G9-G8</f>
        <v>-100</v>
      </c>
      <c r="H10" s="2"/>
      <c r="I10" s="2"/>
      <c r="J10" s="2"/>
      <c r="K10" s="2"/>
      <c r="L10" s="2"/>
      <c r="M10" s="2"/>
      <c r="N10" s="2"/>
    </row>
    <row r="11" spans="1:14">
      <c r="A11" s="1" t="s">
        <v>240</v>
      </c>
      <c r="B11" s="2" t="s">
        <v>67</v>
      </c>
      <c r="C11" s="7" t="s">
        <v>241</v>
      </c>
      <c r="D11" s="7" t="s">
        <v>242</v>
      </c>
      <c r="E11" s="7" t="s">
        <v>195</v>
      </c>
      <c r="F11" s="7" t="s">
        <v>30</v>
      </c>
      <c r="G11" s="7">
        <v>49314</v>
      </c>
      <c r="H11" s="7" t="s">
        <v>243</v>
      </c>
      <c r="I11" s="7" t="s">
        <v>244</v>
      </c>
      <c r="J11" s="7" t="s">
        <v>245</v>
      </c>
      <c r="K11" s="7" t="s">
        <v>246</v>
      </c>
      <c r="L11" s="7" t="s">
        <v>247</v>
      </c>
      <c r="M11" s="7" t="s">
        <v>71</v>
      </c>
      <c r="N11" s="7" t="s">
        <v>71</v>
      </c>
    </row>
    <row r="12" spans="1:14">
      <c r="A12" s="1"/>
      <c r="B12" s="8" t="s">
        <v>80</v>
      </c>
      <c r="C12" s="7" t="s">
        <v>241</v>
      </c>
      <c r="D12" s="7" t="s">
        <v>242</v>
      </c>
      <c r="E12" s="7" t="s">
        <v>195</v>
      </c>
      <c r="F12" s="7" t="s">
        <v>30</v>
      </c>
      <c r="G12" s="7">
        <v>39314</v>
      </c>
      <c r="H12" s="7" t="s">
        <v>243</v>
      </c>
      <c r="I12" s="7" t="s">
        <v>244</v>
      </c>
      <c r="J12" s="7" t="s">
        <v>245</v>
      </c>
      <c r="K12" s="7" t="s">
        <v>246</v>
      </c>
      <c r="L12" s="7" t="s">
        <v>247</v>
      </c>
      <c r="M12" s="7" t="s">
        <v>71</v>
      </c>
      <c r="N12" s="7" t="s">
        <v>71</v>
      </c>
    </row>
    <row r="13" spans="1:14">
      <c r="A13" s="1"/>
      <c r="B13" s="2" t="s">
        <v>89</v>
      </c>
      <c r="C13" s="2"/>
      <c r="D13" s="2"/>
      <c r="E13" s="2"/>
      <c r="F13" s="2"/>
      <c r="G13" s="2">
        <f>G12-G11</f>
        <v>-10000</v>
      </c>
      <c r="H13" s="2"/>
      <c r="I13" s="2"/>
      <c r="J13" s="2"/>
      <c r="K13" s="2"/>
      <c r="L13" s="2"/>
      <c r="M13" s="2"/>
      <c r="N13" s="2"/>
    </row>
    <row r="14" customFormat="1" spans="1:14">
      <c r="A14" s="1" t="s">
        <v>248</v>
      </c>
      <c r="B14" s="2" t="s">
        <v>67</v>
      </c>
      <c r="C14" s="2"/>
      <c r="D14" s="2"/>
      <c r="E14" s="2"/>
      <c r="F14" s="2"/>
      <c r="G14" s="2"/>
      <c r="H14" s="14"/>
      <c r="I14" s="14"/>
      <c r="J14" s="14"/>
      <c r="K14" s="2"/>
      <c r="L14" s="2"/>
      <c r="M14" s="2"/>
      <c r="N14" s="2"/>
    </row>
    <row r="15" customFormat="1" spans="1:14">
      <c r="A15" s="1"/>
      <c r="B15" s="8" t="s">
        <v>80</v>
      </c>
      <c r="C15" s="14" t="s">
        <v>249</v>
      </c>
      <c r="D15" s="14" t="s">
        <v>250</v>
      </c>
      <c r="E15" s="2"/>
      <c r="F15" s="14" t="s">
        <v>251</v>
      </c>
      <c r="G15" s="14">
        <v>5002.78</v>
      </c>
      <c r="H15" s="14" t="s">
        <v>252</v>
      </c>
      <c r="I15" s="14" t="s">
        <v>253</v>
      </c>
      <c r="J15" s="14" t="s">
        <v>254</v>
      </c>
      <c r="L15" s="2"/>
      <c r="N15" s="14" t="s">
        <v>255</v>
      </c>
    </row>
    <row r="16" customFormat="1" spans="1:14">
      <c r="A16" s="1"/>
      <c r="B16" s="2" t="s">
        <v>89</v>
      </c>
      <c r="C16" s="2"/>
      <c r="D16" s="2"/>
      <c r="E16" s="2"/>
      <c r="F16" s="2"/>
      <c r="G16" s="2">
        <f>G15-G14</f>
        <v>5002.78</v>
      </c>
      <c r="H16" s="2"/>
      <c r="I16" s="2"/>
      <c r="J16" s="2"/>
      <c r="K16" s="2"/>
      <c r="L16" s="2"/>
      <c r="M16" s="2"/>
      <c r="N16" s="2"/>
    </row>
    <row r="17" customFormat="1" spans="1:14">
      <c r="A17" s="8" t="s">
        <v>90</v>
      </c>
      <c r="B17" s="8"/>
      <c r="C17" s="8"/>
      <c r="D17" s="8"/>
      <c r="E17" s="8"/>
      <c r="F17" s="8"/>
      <c r="G17" s="8">
        <f>G10+G7+G4+G13+G16</f>
        <v>37600.78</v>
      </c>
      <c r="H17" s="8"/>
      <c r="I17" s="8"/>
      <c r="J17" s="8"/>
      <c r="K17" s="8"/>
      <c r="L17" s="8"/>
      <c r="M17" s="8"/>
      <c r="N17" s="8"/>
    </row>
    <row r="26" spans="1:14">
      <c r="A26" s="2" t="s">
        <v>256</v>
      </c>
      <c r="B26" s="2"/>
      <c r="C26" s="2">
        <f>G17</f>
        <v>37600.78</v>
      </c>
    </row>
    <row r="27" spans="1:14">
      <c r="A27" s="2" t="s">
        <v>257</v>
      </c>
      <c r="B27" s="2"/>
      <c r="C27" s="2">
        <f>G3+G6+G9-(G5+G8)</f>
        <v>42598</v>
      </c>
      <c r="D27" s="27" t="s">
        <v>258</v>
      </c>
      <c r="E27" s="27"/>
      <c r="F27" s="27"/>
      <c r="G27" s="27"/>
      <c r="H27" s="27"/>
    </row>
    <row r="28" spans="1:14">
      <c r="A28" s="2" t="s">
        <v>259</v>
      </c>
      <c r="B28" s="2"/>
      <c r="C28" s="2">
        <f>G12-G11</f>
        <v>-10000</v>
      </c>
      <c r="D28" s="27" t="s">
        <v>260</v>
      </c>
      <c r="E28" s="27"/>
      <c r="F28" s="27"/>
      <c r="G28" s="27"/>
      <c r="H28" s="27"/>
    </row>
    <row r="32" ht="10" customHeight="1"/>
  </sheetData>
  <mergeCells count="7">
    <mergeCell ref="D27:H27"/>
    <mergeCell ref="D28:H28"/>
    <mergeCell ref="A2:A4"/>
    <mergeCell ref="A5:A7"/>
    <mergeCell ref="A8:A10"/>
    <mergeCell ref="A11:A13"/>
    <mergeCell ref="A14:A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D33" sqref="D33"/>
    </sheetView>
  </sheetViews>
  <sheetFormatPr defaultColWidth="8.88888888888889" defaultRowHeight="14.4"/>
  <cols>
    <col min="1" max="1" width="15.2222222222222" customWidth="1"/>
    <col min="2" max="2" width="7.66666666666667" customWidth="1"/>
    <col min="3" max="3" width="11.1111111111111" customWidth="1"/>
    <col min="4" max="4" width="25.5555555555556" customWidth="1"/>
    <col min="5" max="5" width="14" customWidth="1"/>
    <col min="6" max="6" width="14.1111111111111" customWidth="1"/>
    <col min="7" max="7" width="7.66666666666667" customWidth="1"/>
    <col min="8" max="8" width="16.2222222222222" customWidth="1"/>
    <col min="9" max="9" width="22" customWidth="1"/>
    <col min="10" max="10" width="32.5555555555556" customWidth="1"/>
    <col min="11" max="11" width="9.66666666666667" customWidth="1"/>
    <col min="12" max="12" width="22" customWidth="1"/>
    <col min="13" max="13" width="11.8888888888889" customWidth="1"/>
    <col min="14" max="14" width="7.33333333333333" customWidth="1"/>
  </cols>
  <sheetData>
    <row r="1" spans="1:14">
      <c r="A1" s="4"/>
      <c r="B1" s="4" t="s">
        <v>24</v>
      </c>
      <c r="C1" s="5" t="s">
        <v>206</v>
      </c>
      <c r="D1" s="5" t="s">
        <v>207</v>
      </c>
      <c r="E1" s="5" t="s">
        <v>208</v>
      </c>
      <c r="F1" s="5" t="s">
        <v>209</v>
      </c>
      <c r="G1" s="5" t="s">
        <v>1</v>
      </c>
      <c r="H1" s="5" t="s">
        <v>210</v>
      </c>
      <c r="I1" s="5" t="s">
        <v>211</v>
      </c>
      <c r="J1" s="5" t="s">
        <v>212</v>
      </c>
      <c r="K1" s="5" t="s">
        <v>213</v>
      </c>
      <c r="L1" s="5" t="s">
        <v>214</v>
      </c>
      <c r="M1" s="5" t="s">
        <v>215</v>
      </c>
      <c r="N1" s="5" t="s">
        <v>59</v>
      </c>
    </row>
    <row r="2" spans="1:14">
      <c r="A2" s="1" t="s">
        <v>261</v>
      </c>
      <c r="B2" s="2" t="s">
        <v>67</v>
      </c>
      <c r="C2" s="7" t="s">
        <v>188</v>
      </c>
      <c r="D2" s="7" t="s">
        <v>262</v>
      </c>
      <c r="E2" s="7" t="s">
        <v>263</v>
      </c>
      <c r="F2" s="7" t="s">
        <v>30</v>
      </c>
      <c r="G2" s="7">
        <v>7793</v>
      </c>
      <c r="H2" s="7" t="s">
        <v>264</v>
      </c>
      <c r="I2" s="7" t="s">
        <v>265</v>
      </c>
      <c r="J2" s="7" t="s">
        <v>266</v>
      </c>
      <c r="K2" s="7" t="s">
        <v>267</v>
      </c>
      <c r="L2" s="7" t="s">
        <v>268</v>
      </c>
      <c r="M2" s="7" t="s">
        <v>267</v>
      </c>
      <c r="N2" s="2"/>
    </row>
    <row r="3" spans="1:14">
      <c r="A3" s="1"/>
      <c r="B3" s="8" t="s">
        <v>80</v>
      </c>
      <c r="C3" s="7" t="s">
        <v>188</v>
      </c>
      <c r="D3" s="7" t="s">
        <v>262</v>
      </c>
      <c r="E3" s="7" t="s">
        <v>263</v>
      </c>
      <c r="F3" s="7" t="s">
        <v>30</v>
      </c>
      <c r="G3" s="7">
        <v>7693</v>
      </c>
      <c r="H3" s="7" t="s">
        <v>264</v>
      </c>
      <c r="I3" s="7" t="s">
        <v>265</v>
      </c>
      <c r="J3" s="7" t="s">
        <v>266</v>
      </c>
      <c r="K3" s="7" t="s">
        <v>267</v>
      </c>
      <c r="L3" s="7" t="s">
        <v>268</v>
      </c>
      <c r="M3" s="7" t="s">
        <v>267</v>
      </c>
      <c r="N3" s="2"/>
    </row>
    <row r="4" spans="1:14">
      <c r="A4" s="1"/>
      <c r="B4" s="2" t="s">
        <v>89</v>
      </c>
      <c r="C4" s="2"/>
      <c r="D4" s="2"/>
      <c r="E4" s="2"/>
      <c r="F4" s="2"/>
      <c r="G4" s="2">
        <f>G3-G2</f>
        <v>-100</v>
      </c>
      <c r="H4" s="2"/>
      <c r="I4" s="2"/>
      <c r="J4" s="2"/>
      <c r="K4" s="2"/>
      <c r="L4" s="2"/>
      <c r="M4" s="2"/>
      <c r="N4" s="2"/>
    </row>
    <row r="5" spans="1:14">
      <c r="A5" s="1" t="s">
        <v>269</v>
      </c>
      <c r="B5" s="2" t="s">
        <v>67</v>
      </c>
      <c r="C5" s="2" t="s">
        <v>85</v>
      </c>
      <c r="D5" s="2" t="s">
        <v>85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1"/>
      <c r="B6" s="8" t="s">
        <v>80</v>
      </c>
      <c r="C6" s="7" t="s">
        <v>188</v>
      </c>
      <c r="D6" s="7" t="s">
        <v>262</v>
      </c>
      <c r="E6" s="7" t="s">
        <v>270</v>
      </c>
      <c r="F6" s="7" t="s">
        <v>30</v>
      </c>
      <c r="G6" s="7">
        <v>3000</v>
      </c>
      <c r="H6" s="7" t="s">
        <v>264</v>
      </c>
      <c r="I6" s="7" t="s">
        <v>265</v>
      </c>
      <c r="J6" s="7" t="s">
        <v>266</v>
      </c>
      <c r="K6" s="7" t="s">
        <v>271</v>
      </c>
      <c r="L6" s="7" t="s">
        <v>272</v>
      </c>
      <c r="M6" s="7" t="s">
        <v>71</v>
      </c>
      <c r="N6" s="7"/>
    </row>
    <row r="7" spans="1:14">
      <c r="A7" s="1"/>
      <c r="B7" s="2" t="s">
        <v>89</v>
      </c>
      <c r="C7" s="2"/>
      <c r="D7" s="2"/>
      <c r="E7" s="2"/>
      <c r="F7" s="2"/>
      <c r="G7" s="2">
        <f>G6-G5</f>
        <v>3000</v>
      </c>
      <c r="H7" s="2"/>
      <c r="I7" s="2"/>
      <c r="J7" s="2"/>
      <c r="K7" s="2"/>
      <c r="L7" s="2"/>
      <c r="M7" s="2"/>
      <c r="N7" s="2"/>
    </row>
    <row r="8" spans="1:14">
      <c r="A8" s="1" t="s">
        <v>273</v>
      </c>
      <c r="B8" s="2" t="s">
        <v>67</v>
      </c>
      <c r="C8" s="7" t="s">
        <v>188</v>
      </c>
      <c r="D8" s="7" t="s">
        <v>274</v>
      </c>
      <c r="E8" s="2"/>
      <c r="F8" s="7" t="s">
        <v>251</v>
      </c>
      <c r="G8" s="7">
        <v>80</v>
      </c>
      <c r="H8" s="7" t="s">
        <v>275</v>
      </c>
      <c r="I8" s="7" t="s">
        <v>276</v>
      </c>
      <c r="J8" s="7" t="s">
        <v>277</v>
      </c>
      <c r="K8" s="7" t="s">
        <v>71</v>
      </c>
      <c r="L8" s="7" t="s">
        <v>71</v>
      </c>
      <c r="M8" s="7"/>
      <c r="N8" s="7" t="s">
        <v>278</v>
      </c>
    </row>
    <row r="9" spans="1:14">
      <c r="A9" s="1"/>
      <c r="B9" s="8" t="s">
        <v>80</v>
      </c>
      <c r="C9" s="2" t="s">
        <v>85</v>
      </c>
      <c r="D9" s="2" t="s">
        <v>85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1"/>
      <c r="B10" s="2" t="s">
        <v>89</v>
      </c>
      <c r="C10" s="2"/>
      <c r="D10" s="2"/>
      <c r="E10" s="2"/>
      <c r="F10" s="2"/>
      <c r="G10" s="2">
        <f>G9-G8</f>
        <v>-80</v>
      </c>
      <c r="H10" s="2"/>
      <c r="I10" s="2"/>
      <c r="J10" s="2"/>
      <c r="K10" s="2"/>
      <c r="L10" s="2"/>
      <c r="M10" s="2"/>
      <c r="N10" s="2"/>
    </row>
    <row r="11" spans="1:14">
      <c r="A11" s="1" t="s">
        <v>279</v>
      </c>
      <c r="B11" s="2" t="s">
        <v>67</v>
      </c>
      <c r="C11" s="7" t="s">
        <v>68</v>
      </c>
      <c r="D11" s="7" t="s">
        <v>218</v>
      </c>
      <c r="E11" s="7" t="s">
        <v>280</v>
      </c>
      <c r="F11" s="7" t="s">
        <v>115</v>
      </c>
      <c r="G11" s="7">
        <v>115200</v>
      </c>
      <c r="H11" s="7" t="s">
        <v>281</v>
      </c>
      <c r="I11" s="7" t="s">
        <v>282</v>
      </c>
      <c r="J11" s="7" t="s">
        <v>254</v>
      </c>
      <c r="K11" s="7" t="s">
        <v>283</v>
      </c>
      <c r="L11" s="7" t="s">
        <v>284</v>
      </c>
      <c r="M11" s="7" t="s">
        <v>71</v>
      </c>
      <c r="N11" s="2"/>
    </row>
    <row r="12" spans="1:14">
      <c r="A12" s="1"/>
      <c r="B12" s="8" t="s">
        <v>80</v>
      </c>
      <c r="C12" s="7" t="s">
        <v>68</v>
      </c>
      <c r="D12" s="7" t="s">
        <v>218</v>
      </c>
      <c r="E12" s="7" t="s">
        <v>280</v>
      </c>
      <c r="F12" s="7" t="s">
        <v>115</v>
      </c>
      <c r="G12" s="7">
        <v>125200</v>
      </c>
      <c r="H12" s="7" t="s">
        <v>281</v>
      </c>
      <c r="I12" s="7" t="s">
        <v>282</v>
      </c>
      <c r="J12" s="7" t="s">
        <v>254</v>
      </c>
      <c r="K12" s="7" t="s">
        <v>283</v>
      </c>
      <c r="L12" s="7" t="s">
        <v>284</v>
      </c>
      <c r="M12" s="7" t="s">
        <v>71</v>
      </c>
      <c r="N12" s="2"/>
    </row>
    <row r="13" spans="1:14">
      <c r="A13" s="1"/>
      <c r="B13" s="2" t="s">
        <v>89</v>
      </c>
      <c r="C13" s="2"/>
      <c r="D13" s="2"/>
      <c r="E13" s="2"/>
      <c r="F13" s="2"/>
      <c r="G13" s="2">
        <f>G12-G11</f>
        <v>10000</v>
      </c>
      <c r="H13" s="2"/>
      <c r="I13" s="2"/>
      <c r="J13" s="2"/>
      <c r="K13" s="2"/>
      <c r="L13" s="2"/>
      <c r="M13" s="2"/>
      <c r="N13" s="2"/>
    </row>
    <row r="14" spans="1:14">
      <c r="A14" s="1" t="s">
        <v>285</v>
      </c>
      <c r="B14" s="2" t="s">
        <v>67</v>
      </c>
      <c r="C14" s="14" t="s">
        <v>286</v>
      </c>
      <c r="D14" s="14" t="s">
        <v>287</v>
      </c>
      <c r="E14" s="14" t="s">
        <v>288</v>
      </c>
      <c r="F14" s="14" t="s">
        <v>289</v>
      </c>
      <c r="G14" s="14">
        <v>4702.35</v>
      </c>
      <c r="H14" s="14" t="s">
        <v>290</v>
      </c>
      <c r="I14" s="14" t="s">
        <v>291</v>
      </c>
      <c r="J14" s="14" t="s">
        <v>292</v>
      </c>
      <c r="K14" s="14" t="s">
        <v>293</v>
      </c>
      <c r="L14" s="14" t="s">
        <v>294</v>
      </c>
      <c r="M14" s="2"/>
      <c r="N14" s="2"/>
    </row>
    <row r="15" spans="1:14">
      <c r="A15" s="1"/>
      <c r="B15" s="8" t="s">
        <v>80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1"/>
      <c r="B16" s="2" t="s">
        <v>89</v>
      </c>
      <c r="C16" s="2"/>
      <c r="D16" s="2"/>
      <c r="E16" s="2"/>
      <c r="F16" s="2"/>
      <c r="G16" s="2">
        <f>0-G14</f>
        <v>-4702.35</v>
      </c>
      <c r="H16" s="2"/>
      <c r="I16" s="2"/>
      <c r="J16" s="2"/>
      <c r="K16" s="2"/>
      <c r="L16" s="2"/>
      <c r="M16" s="2"/>
      <c r="N16" s="2"/>
    </row>
    <row r="17" spans="1:14">
      <c r="A17" s="1" t="s">
        <v>295</v>
      </c>
      <c r="B17" s="2" t="s">
        <v>67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1"/>
      <c r="B18" s="8" t="s">
        <v>80</v>
      </c>
      <c r="C18" s="14" t="s">
        <v>286</v>
      </c>
      <c r="D18" s="14" t="s">
        <v>287</v>
      </c>
      <c r="E18" s="14" t="s">
        <v>288</v>
      </c>
      <c r="F18" s="14" t="s">
        <v>289</v>
      </c>
      <c r="G18" s="14">
        <v>4800</v>
      </c>
      <c r="H18" s="14" t="s">
        <v>290</v>
      </c>
      <c r="I18" s="14" t="s">
        <v>291</v>
      </c>
      <c r="J18" s="14" t="s">
        <v>292</v>
      </c>
      <c r="K18" s="14" t="s">
        <v>293</v>
      </c>
      <c r="L18" s="14" t="s">
        <v>294</v>
      </c>
      <c r="M18" s="2"/>
      <c r="N18" s="2"/>
    </row>
    <row r="19" spans="1:14">
      <c r="A19" s="1"/>
      <c r="B19" s="2" t="s">
        <v>89</v>
      </c>
      <c r="C19" s="2"/>
      <c r="D19" s="2"/>
      <c r="E19" s="2"/>
      <c r="F19" s="2"/>
      <c r="G19" s="2">
        <f>G18-G17</f>
        <v>4800</v>
      </c>
      <c r="H19" s="2"/>
      <c r="I19" s="2"/>
      <c r="J19" s="2"/>
      <c r="K19" s="2"/>
      <c r="L19" s="2"/>
      <c r="M19" s="2"/>
      <c r="N19" s="2"/>
    </row>
    <row r="20" spans="1:14">
      <c r="A20" s="8" t="s">
        <v>90</v>
      </c>
      <c r="B20" s="8"/>
      <c r="C20" s="8"/>
      <c r="D20" s="8"/>
      <c r="E20" s="8"/>
      <c r="F20" s="8"/>
      <c r="G20" s="8">
        <f>G4+G7+G10+G13+G16+G19</f>
        <v>12917.65</v>
      </c>
      <c r="H20" s="8"/>
      <c r="I20" s="8"/>
      <c r="J20" s="8"/>
      <c r="K20" s="8"/>
      <c r="L20" s="8"/>
      <c r="M20" s="8"/>
      <c r="N20" s="8"/>
    </row>
    <row r="23" spans="1:14">
      <c r="E23" t="s">
        <v>296</v>
      </c>
    </row>
    <row r="29" spans="1:14">
      <c r="A29" s="2" t="s">
        <v>297</v>
      </c>
      <c r="C29" s="2">
        <f>G20</f>
        <v>12917.65</v>
      </c>
    </row>
    <row r="30" spans="1:14">
      <c r="A30" s="2" t="s">
        <v>298</v>
      </c>
      <c r="C30" s="2">
        <f>G12-G11</f>
        <v>10000</v>
      </c>
      <c r="D30" s="27" t="s">
        <v>258</v>
      </c>
      <c r="E30" s="27"/>
      <c r="F30" s="27"/>
      <c r="G30" s="27"/>
      <c r="H30" s="27"/>
    </row>
    <row r="31" spans="1:14">
      <c r="A31" s="2" t="s">
        <v>299</v>
      </c>
      <c r="C31" s="2">
        <f>G3+G6-G2</f>
        <v>2900</v>
      </c>
      <c r="D31" s="27" t="s">
        <v>260</v>
      </c>
      <c r="E31" s="27"/>
      <c r="F31" s="27"/>
      <c r="G31" s="27"/>
      <c r="H31" s="27"/>
    </row>
    <row r="32" spans="1:14">
      <c r="A32" s="2" t="s">
        <v>300</v>
      </c>
      <c r="C32" s="2">
        <f>G19+G16</f>
        <v>97.6499999999996</v>
      </c>
      <c r="D32" s="27" t="s">
        <v>301</v>
      </c>
      <c r="E32" s="27"/>
      <c r="F32" s="27"/>
      <c r="G32" s="27"/>
      <c r="H32" s="27"/>
    </row>
  </sheetData>
  <mergeCells count="9">
    <mergeCell ref="D30:H30"/>
    <mergeCell ref="D31:H31"/>
    <mergeCell ref="D32:H32"/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zoomScale="85" zoomScaleNormal="85" workbookViewId="0">
      <selection activeCell="C31" sqref="C31"/>
    </sheetView>
  </sheetViews>
  <sheetFormatPr defaultColWidth="8.88888888888889" defaultRowHeight="14.4"/>
  <cols>
    <col min="1" max="1" width="23" customWidth="1"/>
    <col min="2" max="2" width="7.66666666666667" customWidth="1"/>
    <col min="3" max="3" width="11.1111111111111" customWidth="1"/>
    <col min="4" max="4" width="7.66666666666667" customWidth="1"/>
    <col min="5" max="5" width="46" customWidth="1"/>
    <col min="6" max="6" width="24.4444444444444" customWidth="1"/>
    <col min="7" max="7" width="14.1111111111111" customWidth="1"/>
    <col min="8" max="8" width="13.0648148148148" customWidth="1"/>
    <col min="9" max="9" width="19.8611111111111" customWidth="1"/>
    <col min="10" max="10" width="17.3796296296296" customWidth="1"/>
    <col min="11" max="14" width="16.4444444444444" customWidth="1"/>
    <col min="15" max="15" width="32.5555555555556" customWidth="1"/>
    <col min="16" max="16" width="16.4444444444444" customWidth="1"/>
    <col min="17" max="17" width="28.2222222222222" customWidth="1"/>
    <col min="18" max="18" width="27.8148148148148" customWidth="1"/>
    <col min="19" max="19" width="13.4444444444444" customWidth="1"/>
    <col min="20" max="20" width="14.1111111111111" customWidth="1"/>
  </cols>
  <sheetData>
    <row r="1" s="4" customFormat="1" spans="1:20">
      <c r="B1" s="11" t="s">
        <v>24</v>
      </c>
      <c r="C1" s="11" t="s">
        <v>302</v>
      </c>
      <c r="D1" s="11" t="s">
        <v>1</v>
      </c>
      <c r="E1" s="11" t="s">
        <v>303</v>
      </c>
      <c r="F1" s="11" t="s">
        <v>304</v>
      </c>
      <c r="G1" s="11" t="s">
        <v>305</v>
      </c>
      <c r="H1" s="11" t="s">
        <v>306</v>
      </c>
      <c r="I1" s="11" t="s">
        <v>307</v>
      </c>
      <c r="J1" s="11" t="s">
        <v>308</v>
      </c>
      <c r="K1" s="11" t="s">
        <v>309</v>
      </c>
      <c r="L1" s="11" t="s">
        <v>310</v>
      </c>
      <c r="M1" s="11" t="s">
        <v>311</v>
      </c>
      <c r="N1" s="12" t="s">
        <v>312</v>
      </c>
      <c r="O1" s="11" t="s">
        <v>313</v>
      </c>
      <c r="P1" s="12" t="s">
        <v>314</v>
      </c>
      <c r="Q1" s="11" t="s">
        <v>315</v>
      </c>
      <c r="R1" s="11" t="s">
        <v>59</v>
      </c>
      <c r="S1" s="11" t="s">
        <v>316</v>
      </c>
      <c r="T1" s="11" t="s">
        <v>317</v>
      </c>
    </row>
    <row r="2" spans="1:20">
      <c r="A2" s="13" t="s">
        <v>318</v>
      </c>
      <c r="B2" s="2" t="s">
        <v>67</v>
      </c>
      <c r="C2" s="14" t="s">
        <v>286</v>
      </c>
      <c r="D2" s="14">
        <v>380000</v>
      </c>
      <c r="E2" s="14" t="s">
        <v>319</v>
      </c>
      <c r="F2" s="14" t="s">
        <v>320</v>
      </c>
      <c r="G2" s="14" t="s">
        <v>319</v>
      </c>
      <c r="H2" s="14" t="s">
        <v>321</v>
      </c>
      <c r="I2" s="14" t="s">
        <v>319</v>
      </c>
      <c r="J2" s="14" t="s">
        <v>320</v>
      </c>
      <c r="K2" s="14" t="s">
        <v>322</v>
      </c>
      <c r="L2" s="14" t="s">
        <v>266</v>
      </c>
      <c r="M2" s="14" t="s">
        <v>323</v>
      </c>
      <c r="N2" s="15" t="s">
        <v>324</v>
      </c>
      <c r="O2" s="16" t="s">
        <v>325</v>
      </c>
      <c r="P2" s="17" t="s">
        <v>324</v>
      </c>
      <c r="Q2" s="18" t="s">
        <v>326</v>
      </c>
      <c r="R2" s="18" t="s">
        <v>71</v>
      </c>
      <c r="S2" s="18" t="s">
        <v>327</v>
      </c>
      <c r="T2" s="18" t="s">
        <v>328</v>
      </c>
    </row>
    <row r="3" spans="1:20">
      <c r="A3" s="19"/>
      <c r="B3" s="8" t="s">
        <v>80</v>
      </c>
      <c r="C3" s="14" t="s">
        <v>286</v>
      </c>
      <c r="D3" s="14">
        <v>280000</v>
      </c>
      <c r="E3" s="14" t="s">
        <v>319</v>
      </c>
      <c r="F3" s="14" t="s">
        <v>320</v>
      </c>
      <c r="G3" s="14" t="s">
        <v>319</v>
      </c>
      <c r="H3" s="14" t="s">
        <v>321</v>
      </c>
      <c r="I3" s="14" t="s">
        <v>319</v>
      </c>
      <c r="J3" s="14" t="s">
        <v>320</v>
      </c>
      <c r="K3" s="14" t="s">
        <v>322</v>
      </c>
      <c r="L3" s="14" t="s">
        <v>266</v>
      </c>
      <c r="M3" s="14" t="s">
        <v>323</v>
      </c>
      <c r="N3" s="15" t="s">
        <v>324</v>
      </c>
      <c r="O3" s="16" t="s">
        <v>325</v>
      </c>
      <c r="P3" s="20" t="s">
        <v>324</v>
      </c>
      <c r="Q3" s="7" t="s">
        <v>326</v>
      </c>
      <c r="R3" s="7" t="s">
        <v>71</v>
      </c>
      <c r="S3" s="7" t="s">
        <v>327</v>
      </c>
      <c r="T3" s="7" t="s">
        <v>328</v>
      </c>
    </row>
    <row r="4" spans="1:20">
      <c r="A4" s="1" t="s">
        <v>329</v>
      </c>
      <c r="B4" s="2" t="s">
        <v>67</v>
      </c>
      <c r="C4" s="21" t="s">
        <v>68</v>
      </c>
      <c r="D4" s="21">
        <v>50320</v>
      </c>
      <c r="E4" s="21" t="s">
        <v>193</v>
      </c>
      <c r="F4" s="21" t="s">
        <v>195</v>
      </c>
      <c r="G4" s="21" t="s">
        <v>194</v>
      </c>
      <c r="H4" s="21" t="s">
        <v>330</v>
      </c>
      <c r="I4" s="21" t="s">
        <v>71</v>
      </c>
      <c r="J4" s="21" t="s">
        <v>331</v>
      </c>
      <c r="K4" s="21" t="s">
        <v>332</v>
      </c>
      <c r="L4" s="21" t="s">
        <v>71</v>
      </c>
      <c r="M4" s="21" t="s">
        <v>218</v>
      </c>
      <c r="N4" s="22" t="s">
        <v>115</v>
      </c>
      <c r="O4" s="23" t="s">
        <v>242</v>
      </c>
      <c r="P4" s="24" t="s">
        <v>30</v>
      </c>
      <c r="Q4" s="2"/>
      <c r="R4" s="21" t="s">
        <v>333</v>
      </c>
      <c r="S4" s="2"/>
      <c r="T4" s="21" t="s">
        <v>334</v>
      </c>
    </row>
    <row r="5" spans="1:20">
      <c r="A5" s="1"/>
      <c r="B5" s="8" t="s">
        <v>80</v>
      </c>
      <c r="C5" s="21" t="s">
        <v>68</v>
      </c>
      <c r="D5" s="21">
        <v>40320</v>
      </c>
      <c r="E5" s="21" t="s">
        <v>193</v>
      </c>
      <c r="F5" s="21" t="s">
        <v>195</v>
      </c>
      <c r="G5" s="21" t="s">
        <v>194</v>
      </c>
      <c r="H5" s="21" t="s">
        <v>330</v>
      </c>
      <c r="I5" s="21" t="s">
        <v>71</v>
      </c>
      <c r="J5" s="21" t="s">
        <v>331</v>
      </c>
      <c r="K5" s="21" t="s">
        <v>332</v>
      </c>
      <c r="L5" s="21" t="s">
        <v>71</v>
      </c>
      <c r="M5" s="21" t="s">
        <v>218</v>
      </c>
      <c r="N5" s="25" t="s">
        <v>115</v>
      </c>
      <c r="O5" s="23" t="s">
        <v>242</v>
      </c>
      <c r="P5" s="20" t="s">
        <v>30</v>
      </c>
      <c r="Q5" s="2"/>
      <c r="R5" s="21" t="s">
        <v>333</v>
      </c>
      <c r="S5" s="2"/>
      <c r="T5" s="21" t="s">
        <v>334</v>
      </c>
    </row>
    <row r="6" spans="1:20">
      <c r="A6" s="1" t="s">
        <v>335</v>
      </c>
      <c r="B6" s="2" t="s">
        <v>67</v>
      </c>
      <c r="C6" s="21" t="s">
        <v>336</v>
      </c>
      <c r="D6" s="21">
        <v>10000</v>
      </c>
      <c r="E6" s="21" t="s">
        <v>337</v>
      </c>
      <c r="F6" s="21" t="s">
        <v>338</v>
      </c>
      <c r="G6" s="21" t="s">
        <v>71</v>
      </c>
      <c r="H6" s="21" t="s">
        <v>71</v>
      </c>
      <c r="I6" s="21" t="s">
        <v>71</v>
      </c>
      <c r="J6" s="21" t="s">
        <v>71</v>
      </c>
      <c r="K6" s="21" t="s">
        <v>71</v>
      </c>
      <c r="L6" s="21" t="s">
        <v>71</v>
      </c>
      <c r="M6" s="21" t="s">
        <v>262</v>
      </c>
      <c r="N6" s="24" t="s">
        <v>30</v>
      </c>
      <c r="O6" s="21" t="s">
        <v>262</v>
      </c>
      <c r="P6" s="24" t="s">
        <v>30</v>
      </c>
      <c r="Q6" s="2"/>
      <c r="R6" s="21" t="s">
        <v>339</v>
      </c>
      <c r="S6" s="2"/>
      <c r="T6" s="21" t="s">
        <v>340</v>
      </c>
    </row>
    <row r="7" spans="1:20">
      <c r="A7" s="1"/>
      <c r="B7" s="8" t="s">
        <v>80</v>
      </c>
      <c r="C7" s="21" t="s">
        <v>336</v>
      </c>
      <c r="D7" s="21">
        <v>20000</v>
      </c>
      <c r="E7" s="21" t="s">
        <v>337</v>
      </c>
      <c r="F7" s="21" t="s">
        <v>338</v>
      </c>
      <c r="G7" s="21" t="s">
        <v>71</v>
      </c>
      <c r="H7" s="21" t="s">
        <v>71</v>
      </c>
      <c r="I7" s="21" t="s">
        <v>71</v>
      </c>
      <c r="J7" s="21" t="s">
        <v>71</v>
      </c>
      <c r="K7" s="21" t="s">
        <v>71</v>
      </c>
      <c r="L7" s="21" t="s">
        <v>71</v>
      </c>
      <c r="M7" s="21" t="s">
        <v>262</v>
      </c>
      <c r="N7" s="20" t="s">
        <v>30</v>
      </c>
      <c r="O7" s="21" t="s">
        <v>262</v>
      </c>
      <c r="P7" s="20" t="s">
        <v>30</v>
      </c>
      <c r="Q7" s="2"/>
      <c r="R7" s="21" t="s">
        <v>339</v>
      </c>
      <c r="S7" s="2"/>
      <c r="T7" s="21" t="s">
        <v>340</v>
      </c>
    </row>
    <row r="8" spans="1:20">
      <c r="A8" s="1" t="s">
        <v>341</v>
      </c>
      <c r="B8" s="2" t="s">
        <v>67</v>
      </c>
      <c r="C8" s="21" t="s">
        <v>342</v>
      </c>
      <c r="D8" s="21">
        <v>100000</v>
      </c>
      <c r="E8" s="21" t="s">
        <v>343</v>
      </c>
      <c r="F8" s="21" t="s">
        <v>344</v>
      </c>
      <c r="G8" s="21" t="s">
        <v>345</v>
      </c>
      <c r="H8" s="21" t="s">
        <v>346</v>
      </c>
      <c r="I8" s="21" t="s">
        <v>345</v>
      </c>
      <c r="J8" s="21" t="s">
        <v>347</v>
      </c>
      <c r="K8" s="21" t="s">
        <v>348</v>
      </c>
      <c r="L8" s="21" t="s">
        <v>71</v>
      </c>
      <c r="M8" s="21" t="s">
        <v>242</v>
      </c>
      <c r="N8" s="24" t="s">
        <v>30</v>
      </c>
      <c r="O8" s="21" t="s">
        <v>349</v>
      </c>
      <c r="P8" s="22" t="s">
        <v>115</v>
      </c>
      <c r="Q8" s="2"/>
      <c r="R8" s="21" t="s">
        <v>350</v>
      </c>
      <c r="S8" s="2"/>
      <c r="T8" s="21" t="s">
        <v>334</v>
      </c>
    </row>
    <row r="9" spans="1:20">
      <c r="A9" s="1"/>
      <c r="B9" s="8" t="s">
        <v>80</v>
      </c>
      <c r="C9" s="21" t="s">
        <v>342</v>
      </c>
      <c r="D9" s="21">
        <v>200000</v>
      </c>
      <c r="E9" s="21" t="s">
        <v>343</v>
      </c>
      <c r="F9" s="21" t="s">
        <v>344</v>
      </c>
      <c r="G9" s="21" t="s">
        <v>345</v>
      </c>
      <c r="H9" s="21" t="s">
        <v>346</v>
      </c>
      <c r="I9" s="21" t="s">
        <v>345</v>
      </c>
      <c r="J9" s="21" t="s">
        <v>347</v>
      </c>
      <c r="K9" s="21" t="s">
        <v>348</v>
      </c>
      <c r="L9" s="21" t="s">
        <v>71</v>
      </c>
      <c r="M9" s="21" t="s">
        <v>242</v>
      </c>
      <c r="N9" s="20" t="s">
        <v>30</v>
      </c>
      <c r="O9" s="21" t="s">
        <v>349</v>
      </c>
      <c r="P9" s="25" t="s">
        <v>115</v>
      </c>
      <c r="Q9" s="2"/>
      <c r="R9" s="21" t="s">
        <v>350</v>
      </c>
      <c r="S9" s="2"/>
      <c r="T9" s="21" t="s">
        <v>334</v>
      </c>
    </row>
    <row r="10" spans="1:20">
      <c r="A10" s="1" t="s">
        <v>351</v>
      </c>
      <c r="B10" s="2" t="s">
        <v>67</v>
      </c>
      <c r="C10" s="7" t="s">
        <v>352</v>
      </c>
      <c r="D10" s="7">
        <v>3175.05</v>
      </c>
      <c r="E10" s="7" t="s">
        <v>353</v>
      </c>
      <c r="F10" s="7" t="s">
        <v>71</v>
      </c>
      <c r="G10" s="7" t="s">
        <v>231</v>
      </c>
      <c r="H10" s="7" t="s">
        <v>231</v>
      </c>
      <c r="I10" s="7" t="s">
        <v>71</v>
      </c>
      <c r="J10" s="7" t="s">
        <v>354</v>
      </c>
      <c r="K10" s="7" t="s">
        <v>355</v>
      </c>
      <c r="L10" s="7" t="s">
        <v>71</v>
      </c>
      <c r="M10" s="7" t="s">
        <v>218</v>
      </c>
      <c r="N10" s="7" t="s">
        <v>115</v>
      </c>
      <c r="O10" s="7" t="s">
        <v>287</v>
      </c>
      <c r="P10" s="7" t="s">
        <v>289</v>
      </c>
      <c r="Q10" s="7" t="s">
        <v>71</v>
      </c>
      <c r="R10" s="7" t="s">
        <v>71</v>
      </c>
      <c r="S10" s="7" t="s">
        <v>71</v>
      </c>
      <c r="T10" s="7" t="s">
        <v>356</v>
      </c>
    </row>
    <row r="11" spans="1:20">
      <c r="A11" s="1"/>
      <c r="B11" s="8" t="s">
        <v>80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357</v>
      </c>
      <c r="B12" s="2" t="s">
        <v>67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1" spans="1:20">
      <c r="A13" s="1"/>
      <c r="B13" s="8" t="s">
        <v>80</v>
      </c>
      <c r="C13" s="7" t="s">
        <v>352</v>
      </c>
      <c r="D13" s="7">
        <v>3100</v>
      </c>
      <c r="E13" s="7" t="s">
        <v>353</v>
      </c>
      <c r="F13" s="7" t="s">
        <v>71</v>
      </c>
      <c r="G13" s="7" t="s">
        <v>231</v>
      </c>
      <c r="H13" s="7" t="s">
        <v>231</v>
      </c>
      <c r="I13" s="7" t="s">
        <v>71</v>
      </c>
      <c r="J13" s="7" t="s">
        <v>354</v>
      </c>
      <c r="K13" s="7" t="s">
        <v>355</v>
      </c>
      <c r="L13" s="7" t="s">
        <v>71</v>
      </c>
      <c r="M13" s="7" t="s">
        <v>218</v>
      </c>
      <c r="N13" s="7" t="s">
        <v>115</v>
      </c>
      <c r="O13" s="7" t="s">
        <v>287</v>
      </c>
      <c r="P13" s="7" t="s">
        <v>289</v>
      </c>
      <c r="Q13" s="7" t="s">
        <v>71</v>
      </c>
      <c r="R13" s="7" t="s">
        <v>71</v>
      </c>
      <c r="S13" s="7" t="s">
        <v>71</v>
      </c>
      <c r="T13" s="7" t="s">
        <v>356</v>
      </c>
    </row>
    <row r="24" customFormat="1" spans="1:6">
      <c r="A24" s="26" t="s">
        <v>358</v>
      </c>
      <c r="B24" s="26"/>
      <c r="C24" s="26"/>
      <c r="D24" s="26"/>
      <c r="E24" s="26"/>
      <c r="F24" s="2">
        <f>D4+D10-D8</f>
        <v>-46504.95</v>
      </c>
    </row>
    <row r="25" customFormat="1" spans="1:6">
      <c r="A25" s="26" t="s">
        <v>359</v>
      </c>
      <c r="B25" s="26"/>
      <c r="C25" s="26"/>
      <c r="D25" s="26"/>
      <c r="E25" s="26"/>
      <c r="F25" s="2">
        <f>D5+D13-D9</f>
        <v>-156580</v>
      </c>
    </row>
    <row r="26" customFormat="1" spans="1:6">
      <c r="A26" s="26" t="s">
        <v>360</v>
      </c>
      <c r="B26" s="26"/>
      <c r="C26" s="26"/>
      <c r="D26" s="26"/>
      <c r="E26" s="26"/>
      <c r="F26" s="2">
        <f>F25-F24</f>
        <v>-110075.05</v>
      </c>
    </row>
    <row r="29" customFormat="1" spans="1:6">
      <c r="A29" s="2" t="s">
        <v>361</v>
      </c>
      <c r="B29" s="2"/>
      <c r="C29" s="2"/>
      <c r="D29" s="2"/>
      <c r="E29" s="2"/>
      <c r="F29" s="2">
        <f>D4+D6-D8-D6</f>
        <v>-49680</v>
      </c>
    </row>
    <row r="30" customFormat="1" spans="1:6">
      <c r="A30" s="2" t="s">
        <v>362</v>
      </c>
      <c r="B30" s="2"/>
      <c r="C30" s="2"/>
      <c r="D30" s="2"/>
      <c r="E30" s="2"/>
      <c r="F30" s="2">
        <f>D5+D7-D9-D7</f>
        <v>-159680</v>
      </c>
    </row>
    <row r="31" customFormat="1" spans="1:6">
      <c r="A31" s="2" t="s">
        <v>363</v>
      </c>
      <c r="B31" s="2"/>
      <c r="C31" s="2"/>
      <c r="D31" s="2"/>
      <c r="E31" s="2"/>
      <c r="F31" s="2">
        <f>F30-F29</f>
        <v>-110000</v>
      </c>
    </row>
    <row r="36" customFormat="1" spans="1:5">
      <c r="A36" s="2" t="s">
        <v>364</v>
      </c>
      <c r="B36">
        <f>D13-D10</f>
        <v>-75.0500000000002</v>
      </c>
      <c r="E36" s="2" t="s">
        <v>365</v>
      </c>
    </row>
  </sheetData>
  <mergeCells count="9">
    <mergeCell ref="A24:E24"/>
    <mergeCell ref="A25:E25"/>
    <mergeCell ref="A26:E26"/>
    <mergeCell ref="A2:A3"/>
    <mergeCell ref="A4:A5"/>
    <mergeCell ref="A6:A7"/>
    <mergeCell ref="A8:A9"/>
    <mergeCell ref="A10:A11"/>
    <mergeCell ref="A12:A13"/>
  </mergeCells>
  <dataValidations count="3">
    <dataValidation type="custom" allowBlank="1" showInputMessage="1" showErrorMessage="1" prompt="账户类型只有内部转账时有值" sqref="S10">
      <formula1>DD14</formula1>
    </dataValidation>
    <dataValidation type="custom" allowBlank="1" showInputMessage="1" showErrorMessage="1" prompt="账户类型只有内部转账时有值" sqref="S13">
      <formula1>DD15</formula1>
    </dataValidation>
    <dataValidation type="custom" allowBlank="1" showInputMessage="1" showErrorMessage="1" prompt="账户类型只有内部转账时有值" sqref="S2:S3">
      <formula1>DD1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24" sqref="B24"/>
    </sheetView>
  </sheetViews>
  <sheetFormatPr defaultColWidth="8.88888888888889" defaultRowHeight="14.4"/>
  <cols>
    <col min="1" max="1" width="17.5555555555556" customWidth="1"/>
    <col min="3" max="3" width="22" customWidth="1"/>
    <col min="4" max="4" width="5.66666666666667" customWidth="1"/>
    <col min="5" max="5" width="35.5555555555556" customWidth="1"/>
    <col min="6" max="6" width="9.66666666666667" customWidth="1"/>
    <col min="7" max="7" width="18.6666666666667" customWidth="1"/>
    <col min="8" max="8" width="11.7777777777778" customWidth="1"/>
    <col min="9" max="9" width="10.7777777777778" customWidth="1"/>
    <col min="10" max="10" width="22" customWidth="1"/>
    <col min="11" max="11" width="14.1111111111111" customWidth="1"/>
    <col min="12" max="12" width="22" customWidth="1"/>
    <col min="13" max="13" width="9.66666666666667" customWidth="1"/>
    <col min="14" max="14" width="5.66666666666667" customWidth="1"/>
  </cols>
  <sheetData>
    <row r="1" customFormat="1" spans="1:14">
      <c r="A1" s="9"/>
      <c r="B1" s="2" t="s">
        <v>24</v>
      </c>
      <c r="C1" s="2" t="s">
        <v>366</v>
      </c>
      <c r="D1" s="2" t="s">
        <v>367</v>
      </c>
      <c r="E1" s="2" t="s">
        <v>30</v>
      </c>
      <c r="F1" s="2" t="s">
        <v>368</v>
      </c>
      <c r="G1" s="2" t="s">
        <v>369</v>
      </c>
      <c r="H1" s="2" t="s">
        <v>1</v>
      </c>
      <c r="I1" s="2" t="s">
        <v>370</v>
      </c>
      <c r="J1" s="2" t="s">
        <v>371</v>
      </c>
      <c r="K1" s="2" t="s">
        <v>372</v>
      </c>
      <c r="L1" s="2" t="s">
        <v>373</v>
      </c>
      <c r="M1" s="2" t="s">
        <v>374</v>
      </c>
      <c r="N1" s="2" t="s">
        <v>59</v>
      </c>
    </row>
    <row r="2" customFormat="1" spans="1:14">
      <c r="A2" s="1" t="s">
        <v>375</v>
      </c>
      <c r="B2" s="2" t="s">
        <v>67</v>
      </c>
      <c r="C2" s="2" t="s">
        <v>376</v>
      </c>
      <c r="D2" s="2" t="s">
        <v>377</v>
      </c>
      <c r="E2" s="2" t="s">
        <v>378</v>
      </c>
      <c r="F2" s="2" t="s">
        <v>379</v>
      </c>
      <c r="G2" s="2">
        <v>1</v>
      </c>
      <c r="H2" s="2">
        <v>3497.2339</v>
      </c>
      <c r="I2" s="2" t="s">
        <v>380</v>
      </c>
      <c r="J2" s="2" t="s">
        <v>381</v>
      </c>
      <c r="K2" s="2">
        <v>3497.12</v>
      </c>
      <c r="L2" s="2" t="s">
        <v>381</v>
      </c>
      <c r="M2" s="2">
        <v>3497.12</v>
      </c>
      <c r="N2" s="2" t="s">
        <v>71</v>
      </c>
    </row>
    <row r="3" customFormat="1" spans="1:14">
      <c r="A3" s="1"/>
      <c r="B3" s="2" t="s">
        <v>80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71</v>
      </c>
    </row>
    <row r="4" customFormat="1" spans="1:14">
      <c r="A4" s="1"/>
      <c r="B4" s="2" t="s">
        <v>89</v>
      </c>
      <c r="C4" s="2"/>
      <c r="D4" s="2"/>
      <c r="E4" s="2"/>
      <c r="F4" s="2"/>
      <c r="G4" s="2"/>
      <c r="H4" s="2"/>
      <c r="I4" s="2"/>
      <c r="J4" s="2"/>
      <c r="K4" s="2">
        <v>-3497.12</v>
      </c>
      <c r="L4" s="2"/>
      <c r="M4" s="2"/>
      <c r="N4" s="2"/>
    </row>
    <row r="5" customFormat="1" spans="1:14">
      <c r="A5" s="1" t="s">
        <v>382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1" spans="1:14">
      <c r="A6" s="1"/>
      <c r="B6" s="2" t="s">
        <v>80</v>
      </c>
      <c r="C6" s="2" t="s">
        <v>383</v>
      </c>
      <c r="D6" s="2" t="s">
        <v>377</v>
      </c>
      <c r="E6" s="2" t="s">
        <v>384</v>
      </c>
      <c r="F6" s="2" t="s">
        <v>379</v>
      </c>
      <c r="G6" s="2">
        <v>2.5</v>
      </c>
      <c r="H6" s="2">
        <v>10368.1944</v>
      </c>
      <c r="I6" s="2" t="s">
        <v>385</v>
      </c>
      <c r="J6" s="2" t="s">
        <v>386</v>
      </c>
      <c r="K6" s="2">
        <v>9324.66</v>
      </c>
      <c r="L6" s="2" t="s">
        <v>386</v>
      </c>
      <c r="M6" s="2">
        <v>9324.66</v>
      </c>
      <c r="N6" s="2"/>
    </row>
    <row r="7" customFormat="1" spans="1:14">
      <c r="A7" s="1"/>
      <c r="B7" s="2" t="s">
        <v>89</v>
      </c>
      <c r="C7" s="2"/>
      <c r="D7" s="2"/>
      <c r="E7" s="2"/>
      <c r="F7" s="2"/>
      <c r="G7" s="2"/>
      <c r="H7" s="2"/>
      <c r="I7" s="2"/>
      <c r="J7" s="2"/>
      <c r="K7" s="2">
        <v>9324.66</v>
      </c>
      <c r="L7" s="2"/>
      <c r="M7" s="2"/>
      <c r="N7" s="2"/>
    </row>
    <row r="8" customFormat="1" spans="1:14">
      <c r="A8" s="10" t="s">
        <v>90</v>
      </c>
      <c r="B8" s="10"/>
      <c r="C8" s="10"/>
      <c r="D8" s="10"/>
      <c r="E8" s="10"/>
      <c r="F8" s="10"/>
      <c r="G8" s="10"/>
      <c r="H8" s="10"/>
      <c r="I8" s="10"/>
      <c r="J8" s="10"/>
      <c r="K8" s="10">
        <v>5827.54</v>
      </c>
      <c r="L8" s="10"/>
      <c r="M8" s="10"/>
      <c r="N8" s="10"/>
    </row>
    <row r="15" customFormat="1" spans="1:14">
      <c r="A15" s="2" t="s">
        <v>387</v>
      </c>
      <c r="B15" s="2">
        <v>5827.54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7" sqref="B17"/>
    </sheetView>
  </sheetViews>
  <sheetFormatPr defaultColWidth="8.88888888888889" defaultRowHeight="14.4" outlineLevelCol="6"/>
  <cols>
    <col min="1" max="1" width="16.4444444444444" customWidth="1"/>
    <col min="2" max="2" width="15.2222222222222" customWidth="1"/>
    <col min="3" max="3" width="20.2222222222222" customWidth="1"/>
    <col min="4" max="4" width="7.66666666666667" customWidth="1"/>
    <col min="5" max="5" width="11.2222222222222" customWidth="1"/>
    <col min="6" max="6" width="14.1111111111111" customWidth="1"/>
    <col min="7" max="7" width="33.4444444444444" customWidth="1"/>
  </cols>
  <sheetData>
    <row r="1" spans="1:7">
      <c r="A1" s="4"/>
      <c r="B1" s="5" t="s">
        <v>24</v>
      </c>
      <c r="C1" s="6" t="s">
        <v>388</v>
      </c>
      <c r="D1" s="6" t="s">
        <v>1</v>
      </c>
      <c r="E1" s="6" t="s">
        <v>208</v>
      </c>
      <c r="F1" s="6" t="s">
        <v>209</v>
      </c>
      <c r="G1" s="6" t="s">
        <v>59</v>
      </c>
    </row>
    <row r="2" spans="1:7">
      <c r="A2" s="1" t="s">
        <v>389</v>
      </c>
      <c r="B2" s="2" t="s">
        <v>67</v>
      </c>
      <c r="C2" s="7" t="s">
        <v>390</v>
      </c>
      <c r="D2" s="7">
        <v>952.6</v>
      </c>
      <c r="E2" s="7" t="s">
        <v>391</v>
      </c>
      <c r="F2" s="7" t="s">
        <v>115</v>
      </c>
      <c r="G2" s="7" t="s">
        <v>392</v>
      </c>
    </row>
    <row r="3" spans="1:7">
      <c r="A3" s="1"/>
      <c r="B3" s="8" t="s">
        <v>80</v>
      </c>
      <c r="C3" s="7" t="s">
        <v>390</v>
      </c>
      <c r="D3" s="7">
        <v>930</v>
      </c>
      <c r="E3" s="7" t="s">
        <v>391</v>
      </c>
      <c r="F3" s="7" t="s">
        <v>115</v>
      </c>
      <c r="G3" s="7" t="s">
        <v>393</v>
      </c>
    </row>
    <row r="4" spans="1:7">
      <c r="A4" s="1"/>
      <c r="B4" s="2" t="s">
        <v>89</v>
      </c>
      <c r="C4" s="2"/>
      <c r="D4" s="2">
        <f>D3-D2</f>
        <v>-22.6</v>
      </c>
      <c r="E4" s="2"/>
      <c r="F4" s="2"/>
      <c r="G4" s="2"/>
    </row>
    <row r="17" spans="1:3">
      <c r="A17" s="2" t="s">
        <v>394</v>
      </c>
      <c r="B17">
        <f>D4</f>
        <v>-22.6</v>
      </c>
      <c r="C17" t="s">
        <v>258</v>
      </c>
    </row>
    <row r="18" spans="1:3">
      <c r="A18" s="2" t="s">
        <v>395</v>
      </c>
      <c r="C18" t="s">
        <v>260</v>
      </c>
    </row>
  </sheetData>
  <mergeCells count="1">
    <mergeCell ref="A2:A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B14" sqref="B14"/>
    </sheetView>
  </sheetViews>
  <sheetFormatPr defaultColWidth="8.88888888888889" defaultRowHeight="14.4"/>
  <cols>
    <col min="1" max="1" width="12.9074074074074" customWidth="1"/>
    <col min="2" max="2" width="20.8148148148148" customWidth="1"/>
    <col min="3" max="3" width="25.2685185185185" customWidth="1"/>
    <col min="4" max="5" width="9.5462962962963" customWidth="1"/>
    <col min="6" max="7" width="14" customWidth="1"/>
    <col min="8" max="9" width="9.5462962962963" customWidth="1"/>
    <col min="10" max="10" width="17.3611111111111" customWidth="1"/>
    <col min="11" max="11" width="12.8148148148148" customWidth="1"/>
    <col min="12" max="14" width="11.8148148148148" customWidth="1"/>
    <col min="15" max="15" width="29.8148148148148" customWidth="1"/>
  </cols>
  <sheetData>
    <row r="1" spans="1:15">
      <c r="A1" s="2"/>
      <c r="B1" s="2"/>
      <c r="C1" s="2" t="s">
        <v>396</v>
      </c>
      <c r="D1" s="2" t="s">
        <v>397</v>
      </c>
      <c r="E1" s="2" t="s">
        <v>398</v>
      </c>
      <c r="F1" s="2" t="s">
        <v>399</v>
      </c>
      <c r="G1" s="2" t="s">
        <v>400</v>
      </c>
      <c r="H1" s="2" t="s">
        <v>401</v>
      </c>
      <c r="I1" s="2" t="s">
        <v>402</v>
      </c>
      <c r="J1" s="2" t="s">
        <v>403</v>
      </c>
      <c r="K1" s="2" t="s">
        <v>404</v>
      </c>
      <c r="L1" s="2" t="s">
        <v>405</v>
      </c>
      <c r="M1" s="2" t="s">
        <v>406</v>
      </c>
      <c r="N1" s="2" t="s">
        <v>407</v>
      </c>
      <c r="O1" s="2" t="s">
        <v>59</v>
      </c>
    </row>
    <row r="2" spans="1:15">
      <c r="A2" s="1" t="s">
        <v>408</v>
      </c>
      <c r="B2" s="2" t="s">
        <v>67</v>
      </c>
      <c r="C2" s="2">
        <v>1</v>
      </c>
      <c r="D2" s="2" t="s">
        <v>409</v>
      </c>
      <c r="E2" s="2">
        <v>5000000</v>
      </c>
      <c r="F2" s="2">
        <v>0.033</v>
      </c>
      <c r="G2" s="2"/>
      <c r="H2" s="2">
        <v>1</v>
      </c>
      <c r="I2" s="2" t="s">
        <v>410</v>
      </c>
      <c r="J2" s="2" t="s">
        <v>220</v>
      </c>
      <c r="K2" s="2">
        <v>0</v>
      </c>
      <c r="L2" s="2">
        <v>0</v>
      </c>
      <c r="M2" s="3">
        <v>5000000</v>
      </c>
      <c r="N2" s="3">
        <v>0</v>
      </c>
      <c r="O2" s="2" t="s">
        <v>411</v>
      </c>
    </row>
    <row r="3" spans="1:15">
      <c r="A3" s="1"/>
      <c r="B3" s="2" t="s">
        <v>80</v>
      </c>
      <c r="C3" s="2">
        <v>1</v>
      </c>
      <c r="D3" s="2" t="s">
        <v>409</v>
      </c>
      <c r="E3" s="2">
        <v>5000000</v>
      </c>
      <c r="F3" s="2">
        <v>0.033</v>
      </c>
      <c r="G3" s="2"/>
      <c r="H3" s="2">
        <v>1</v>
      </c>
      <c r="I3" s="2" t="s">
        <v>410</v>
      </c>
      <c r="J3" s="2" t="s">
        <v>220</v>
      </c>
      <c r="K3" s="2">
        <v>0</v>
      </c>
      <c r="L3" s="2">
        <v>1000000</v>
      </c>
      <c r="M3" s="3">
        <v>4000000</v>
      </c>
      <c r="N3" s="3">
        <v>10000</v>
      </c>
      <c r="O3" s="2"/>
    </row>
    <row r="4" spans="1:15">
      <c r="A4" s="1"/>
      <c r="B4" s="2" t="s">
        <v>89</v>
      </c>
      <c r="C4" s="2"/>
      <c r="D4" s="2"/>
      <c r="E4" s="2"/>
      <c r="F4" s="2"/>
      <c r="G4" s="2"/>
      <c r="H4" s="2"/>
      <c r="I4" s="2"/>
      <c r="J4" s="2"/>
      <c r="K4" s="2"/>
      <c r="L4" s="2"/>
      <c r="M4" s="3">
        <f>M3-M2</f>
        <v>-1000000</v>
      </c>
      <c r="N4" s="3">
        <f>N3-N2</f>
        <v>10000</v>
      </c>
      <c r="O4" s="2"/>
    </row>
    <row r="5" spans="1:15">
      <c r="A5" s="1" t="s">
        <v>412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2"/>
    </row>
    <row r="6" spans="1:15">
      <c r="A6" s="1"/>
      <c r="B6" s="2" t="s">
        <v>80</v>
      </c>
      <c r="C6" s="2">
        <v>2</v>
      </c>
      <c r="D6" s="2" t="s">
        <v>409</v>
      </c>
      <c r="E6" s="2">
        <v>2000000</v>
      </c>
      <c r="F6" s="2">
        <v>0.033</v>
      </c>
      <c r="G6" s="2"/>
      <c r="H6" s="2">
        <v>1</v>
      </c>
      <c r="I6" s="2" t="s">
        <v>410</v>
      </c>
      <c r="J6" s="2" t="s">
        <v>220</v>
      </c>
      <c r="K6" s="2">
        <v>0</v>
      </c>
      <c r="L6" s="2">
        <v>0</v>
      </c>
      <c r="M6" s="3">
        <v>2000000</v>
      </c>
      <c r="N6" s="3">
        <v>0</v>
      </c>
      <c r="O6" s="2" t="s">
        <v>413</v>
      </c>
    </row>
    <row r="7" spans="1:15">
      <c r="A7" s="1"/>
      <c r="B7" s="2" t="s">
        <v>89</v>
      </c>
      <c r="C7" s="2"/>
      <c r="D7" s="2"/>
      <c r="E7" s="2"/>
      <c r="F7" s="2"/>
      <c r="G7" s="2"/>
      <c r="H7" s="2"/>
      <c r="I7" s="2"/>
      <c r="J7" s="2"/>
      <c r="K7" s="2"/>
      <c r="L7" s="2"/>
      <c r="M7" s="3">
        <f>M6-M5</f>
        <v>2000000</v>
      </c>
      <c r="N7" s="3">
        <f>N6-N5</f>
        <v>0</v>
      </c>
      <c r="O7" s="2"/>
    </row>
    <row r="8" spans="1:15">
      <c r="A8" s="2"/>
      <c r="B8" s="2" t="s">
        <v>90</v>
      </c>
      <c r="C8" s="2"/>
      <c r="D8" s="2"/>
      <c r="E8" s="2"/>
      <c r="F8" s="2"/>
      <c r="G8" s="2"/>
      <c r="H8" s="2"/>
      <c r="I8" s="2"/>
      <c r="J8" s="2"/>
      <c r="K8" s="2"/>
      <c r="L8" s="2"/>
      <c r="M8" s="3">
        <f>M7+M4</f>
        <v>1000000</v>
      </c>
      <c r="N8" s="3">
        <f>N7+N4</f>
        <v>10000</v>
      </c>
      <c r="O8" s="2"/>
    </row>
    <row r="14" spans="1:15">
      <c r="B14" s="2" t="s">
        <v>414</v>
      </c>
      <c r="C14" s="2">
        <f>M8-N8</f>
        <v>990000</v>
      </c>
      <c r="D14" t="s">
        <v>415</v>
      </c>
    </row>
    <row r="15" spans="1:15">
      <c r="B15" s="2" t="s">
        <v>23</v>
      </c>
      <c r="C15" s="2">
        <f>M8</f>
        <v>1000000</v>
      </c>
      <c r="D15" t="s">
        <v>406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H47" sqref="H47"/>
    </sheetView>
  </sheetViews>
  <sheetFormatPr defaultColWidth="8.88888888888889" defaultRowHeight="14.4"/>
  <cols>
    <col min="1" max="1" width="12.9074074074074" customWidth="1"/>
    <col min="3" max="4" width="9.5462962962963" customWidth="1"/>
    <col min="5" max="6" width="10.6388888888889" customWidth="1"/>
    <col min="7" max="8" width="11.8148148148148" customWidth="1"/>
    <col min="9" max="9" width="10.5462962962963"/>
    <col min="10" max="10" width="16.2685185185185" customWidth="1"/>
    <col min="11" max="11" width="9.5462962962963" customWidth="1"/>
    <col min="12" max="12" width="11.8148148148148" customWidth="1"/>
    <col min="13" max="13" width="23" customWidth="1"/>
    <col min="14" max="14" width="41" customWidth="1"/>
    <col min="15" max="15" width="14" customWidth="1"/>
    <col min="16" max="16" width="37.6388888888889" customWidth="1"/>
    <col min="17" max="17" width="16.2685185185185" customWidth="1"/>
    <col min="18" max="18" width="7.5462962962963" customWidth="1"/>
  </cols>
  <sheetData>
    <row r="1" spans="1:17">
      <c r="A1" s="2"/>
      <c r="B1" s="2"/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/>
      <c r="J1" s="2" t="s">
        <v>422</v>
      </c>
      <c r="K1" s="2" t="s">
        <v>213</v>
      </c>
      <c r="L1" s="2" t="s">
        <v>215</v>
      </c>
      <c r="M1" s="2" t="s">
        <v>423</v>
      </c>
      <c r="N1" s="2" t="s">
        <v>424</v>
      </c>
      <c r="O1" s="2" t="s">
        <v>425</v>
      </c>
      <c r="P1" s="2" t="s">
        <v>426</v>
      </c>
      <c r="Q1" s="2" t="s">
        <v>427</v>
      </c>
    </row>
    <row r="2" spans="1:17">
      <c r="A2" s="1" t="s">
        <v>408</v>
      </c>
      <c r="B2" s="2" t="s">
        <v>67</v>
      </c>
      <c r="C2" s="2" t="s">
        <v>428</v>
      </c>
      <c r="D2" s="2" t="s">
        <v>30</v>
      </c>
      <c r="E2" s="2">
        <v>96800</v>
      </c>
      <c r="F2" s="2"/>
      <c r="G2" s="2"/>
      <c r="H2" s="2">
        <v>96800</v>
      </c>
      <c r="I2" s="2"/>
      <c r="J2" s="2">
        <v>6.217002220007e+18</v>
      </c>
      <c r="K2" s="2" t="s">
        <v>429</v>
      </c>
      <c r="L2" s="2"/>
      <c r="M2" s="2" t="s">
        <v>430</v>
      </c>
      <c r="N2" s="2" t="s">
        <v>431</v>
      </c>
      <c r="O2" s="2">
        <v>6.22937010000863e+18</v>
      </c>
      <c r="P2" s="2">
        <v>46026</v>
      </c>
      <c r="Q2" s="2" t="s">
        <v>432</v>
      </c>
    </row>
    <row r="3" spans="1:17">
      <c r="A3" s="1"/>
      <c r="B3" s="2" t="s">
        <v>80</v>
      </c>
      <c r="C3" s="2" t="s">
        <v>428</v>
      </c>
      <c r="D3" s="2" t="s">
        <v>30</v>
      </c>
      <c r="E3" s="2">
        <v>96800</v>
      </c>
      <c r="F3" s="2">
        <v>5000</v>
      </c>
      <c r="G3" s="2">
        <v>5000</v>
      </c>
      <c r="H3" s="2">
        <v>86800</v>
      </c>
      <c r="I3" s="2"/>
      <c r="J3" s="2">
        <v>6.217002220007e+18</v>
      </c>
      <c r="K3" s="2" t="s">
        <v>429</v>
      </c>
      <c r="L3" s="2"/>
      <c r="M3" s="2" t="s">
        <v>430</v>
      </c>
      <c r="N3" s="2" t="s">
        <v>431</v>
      </c>
      <c r="O3" s="2">
        <v>6.22937010000863e+18</v>
      </c>
      <c r="P3" s="2">
        <v>46026</v>
      </c>
      <c r="Q3" s="2" t="s">
        <v>432</v>
      </c>
    </row>
    <row r="4" spans="1:17">
      <c r="A4" s="1"/>
      <c r="B4" s="2" t="s">
        <v>89</v>
      </c>
      <c r="C4" s="2"/>
      <c r="D4" s="2"/>
      <c r="E4" s="2">
        <f>E3-E2</f>
        <v>0</v>
      </c>
      <c r="F4" s="2">
        <f>F3-F2</f>
        <v>5000</v>
      </c>
      <c r="G4" s="2">
        <f>G3-G2</f>
        <v>5000</v>
      </c>
      <c r="H4" s="2">
        <f>H3-H2</f>
        <v>-10000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1" t="s">
        <v>412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"/>
      <c r="B6" s="2" t="s">
        <v>80</v>
      </c>
      <c r="C6" s="2" t="s">
        <v>433</v>
      </c>
      <c r="D6" s="2" t="s">
        <v>434</v>
      </c>
      <c r="E6" s="2">
        <v>20000</v>
      </c>
      <c r="F6" s="2"/>
      <c r="G6" s="2"/>
      <c r="H6" s="2">
        <v>20000</v>
      </c>
      <c r="I6" s="2"/>
      <c r="J6" s="2">
        <v>6.21700227001198e+18</v>
      </c>
      <c r="K6" s="2" t="s">
        <v>433</v>
      </c>
      <c r="L6" s="2"/>
      <c r="M6" s="2" t="s">
        <v>435</v>
      </c>
      <c r="N6" s="2" t="s">
        <v>436</v>
      </c>
      <c r="O6" s="2">
        <v>6.22843181920087e+18</v>
      </c>
      <c r="P6" s="2">
        <v>45961</v>
      </c>
      <c r="Q6" s="2" t="s">
        <v>437</v>
      </c>
    </row>
    <row r="7" spans="1:17">
      <c r="A7" s="1"/>
      <c r="B7" s="2" t="s">
        <v>89</v>
      </c>
      <c r="C7" s="2"/>
      <c r="D7" s="2"/>
      <c r="E7" s="2">
        <f>E6-E5</f>
        <v>20000</v>
      </c>
      <c r="F7" s="2"/>
      <c r="G7" s="2"/>
      <c r="H7" s="2">
        <f>H6-H5</f>
        <v>20000</v>
      </c>
      <c r="I7" s="2"/>
      <c r="J7" s="2"/>
      <c r="K7" s="2"/>
      <c r="L7" s="2"/>
      <c r="M7" s="2"/>
      <c r="N7" s="2"/>
      <c r="O7" s="2"/>
      <c r="P7" s="2"/>
      <c r="Q7" s="2"/>
    </row>
    <row r="8" spans="1:17">
      <c r="A8" s="3" t="s">
        <v>90</v>
      </c>
      <c r="B8" s="3"/>
      <c r="C8" s="3"/>
      <c r="D8" s="3"/>
      <c r="E8" s="3">
        <f>E7+E4</f>
        <v>20000</v>
      </c>
      <c r="F8" s="3">
        <f>F7+F4</f>
        <v>5000</v>
      </c>
      <c r="G8" s="3"/>
      <c r="H8" s="3">
        <f>H7+H4</f>
        <v>10000</v>
      </c>
      <c r="I8" s="3"/>
      <c r="J8" s="3"/>
      <c r="K8" s="3"/>
      <c r="L8" s="3"/>
      <c r="M8" s="3"/>
      <c r="N8" s="3"/>
      <c r="O8" s="3"/>
      <c r="P8" s="3"/>
      <c r="Q8" s="3"/>
    </row>
    <row r="25" spans="2:5">
      <c r="B25" s="1" t="s">
        <v>438</v>
      </c>
      <c r="C25" s="1"/>
      <c r="D25" s="1"/>
      <c r="E25" s="2">
        <f>H8</f>
        <v>10000</v>
      </c>
    </row>
    <row r="26" spans="2:5">
      <c r="B26" s="1" t="s">
        <v>15</v>
      </c>
      <c r="C26" s="1"/>
      <c r="D26" s="1"/>
      <c r="E26" s="2">
        <f>E8-F8</f>
        <v>15000</v>
      </c>
    </row>
  </sheetData>
  <mergeCells count="4">
    <mergeCell ref="B25:D25"/>
    <mergeCell ref="B26:D26"/>
    <mergeCell ref="A2:A4"/>
    <mergeCell ref="A5:A7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workbookViewId="0">
      <selection activeCell="C15" sqref="C15"/>
    </sheetView>
  </sheetViews>
  <sheetFormatPr defaultColWidth="8.88888888888889" defaultRowHeight="14.4"/>
  <cols>
    <col min="1" max="1" width="17.3611111111111" customWidth="1"/>
    <col min="3" max="4" width="23" customWidth="1"/>
    <col min="5" max="5" width="9.5462962962963" customWidth="1"/>
    <col min="6" max="9" width="11.8148148148148" customWidth="1"/>
    <col min="10" max="10" width="23" customWidth="1"/>
    <col min="11" max="11" width="12.8148148148148" customWidth="1"/>
    <col min="12" max="12" width="23" customWidth="1"/>
    <col min="13" max="13" width="17.3611111111111" customWidth="1"/>
    <col min="14" max="14" width="12.8148148148148" customWidth="1"/>
    <col min="15" max="15" width="41" customWidth="1"/>
    <col min="16" max="16" width="20.8148148148148" customWidth="1"/>
    <col min="17" max="17" width="5.5462962962963" customWidth="1"/>
    <col min="18" max="18" width="20.8148148148148" customWidth="1"/>
    <col min="19" max="19" width="7.5462962962963" customWidth="1"/>
  </cols>
  <sheetData>
    <row r="1" spans="1:19">
      <c r="C1" t="s">
        <v>439</v>
      </c>
      <c r="D1" t="s">
        <v>174</v>
      </c>
      <c r="E1" t="s">
        <v>440</v>
      </c>
      <c r="F1" t="s">
        <v>441</v>
      </c>
      <c r="G1" t="s">
        <v>419</v>
      </c>
      <c r="H1" t="s">
        <v>420</v>
      </c>
      <c r="I1" t="s">
        <v>421</v>
      </c>
      <c r="J1" t="s">
        <v>442</v>
      </c>
      <c r="K1" t="s">
        <v>214</v>
      </c>
      <c r="L1" t="s">
        <v>215</v>
      </c>
      <c r="M1" t="s">
        <v>443</v>
      </c>
      <c r="N1" t="s">
        <v>444</v>
      </c>
      <c r="O1" t="s">
        <v>445</v>
      </c>
      <c r="P1" t="s">
        <v>446</v>
      </c>
      <c r="Q1" t="s">
        <v>447</v>
      </c>
      <c r="R1" t="s">
        <v>59</v>
      </c>
      <c r="S1" t="s">
        <v>448</v>
      </c>
    </row>
    <row r="2" spans="1:19">
      <c r="A2" s="1" t="s">
        <v>449</v>
      </c>
      <c r="B2" s="2" t="s">
        <v>67</v>
      </c>
      <c r="C2" s="2" t="s">
        <v>450</v>
      </c>
      <c r="D2" s="2" t="s">
        <v>450</v>
      </c>
      <c r="E2" s="2" t="s">
        <v>30</v>
      </c>
      <c r="F2" s="2">
        <v>5200000</v>
      </c>
      <c r="G2" s="2"/>
      <c r="H2" s="2"/>
      <c r="I2" s="2">
        <v>5200000</v>
      </c>
      <c r="J2" s="2" t="s">
        <v>450</v>
      </c>
      <c r="K2" s="2">
        <v>1.10434010400048e+16</v>
      </c>
      <c r="L2" s="2" t="s">
        <v>450</v>
      </c>
      <c r="M2" s="2" t="s">
        <v>451</v>
      </c>
      <c r="N2" s="2">
        <v>6.22845181001915e+18</v>
      </c>
      <c r="O2" s="2" t="s">
        <v>436</v>
      </c>
      <c r="P2" s="2">
        <v>45961</v>
      </c>
      <c r="Q2" s="2" t="s">
        <v>452</v>
      </c>
      <c r="R2" s="2" t="s">
        <v>453</v>
      </c>
      <c r="S2" s="2"/>
    </row>
    <row r="3" spans="1:19">
      <c r="A3" s="1"/>
      <c r="B3" s="2" t="s">
        <v>80</v>
      </c>
      <c r="C3" s="2" t="s">
        <v>450</v>
      </c>
      <c r="D3" s="2" t="s">
        <v>450</v>
      </c>
      <c r="E3" s="2" t="s">
        <v>30</v>
      </c>
      <c r="F3" s="2">
        <v>5200000</v>
      </c>
      <c r="G3" s="2">
        <v>700000</v>
      </c>
      <c r="H3" s="2">
        <v>500000</v>
      </c>
      <c r="I3" s="2">
        <v>4000000</v>
      </c>
      <c r="J3" s="2" t="s">
        <v>450</v>
      </c>
      <c r="K3" s="2">
        <v>1.10434010400048e+16</v>
      </c>
      <c r="L3" s="2" t="s">
        <v>450</v>
      </c>
      <c r="M3" s="2" t="s">
        <v>451</v>
      </c>
      <c r="N3" s="2">
        <v>6.22845181001915e+18</v>
      </c>
      <c r="O3" s="2" t="s">
        <v>436</v>
      </c>
      <c r="P3" s="2">
        <v>45961</v>
      </c>
      <c r="Q3" s="2" t="s">
        <v>452</v>
      </c>
      <c r="R3" s="2" t="s">
        <v>453</v>
      </c>
      <c r="S3" s="2"/>
    </row>
    <row r="4" spans="1:19">
      <c r="A4" s="1"/>
      <c r="B4" s="2" t="s">
        <v>89</v>
      </c>
      <c r="C4" s="2"/>
      <c r="D4" s="2"/>
      <c r="E4" s="2"/>
      <c r="F4" s="2">
        <f>F3-F2</f>
        <v>0</v>
      </c>
      <c r="G4" s="2">
        <f>G3-G2</f>
        <v>700000</v>
      </c>
      <c r="H4" s="2">
        <f>H3-H2</f>
        <v>500000</v>
      </c>
      <c r="I4" s="2">
        <f>I3-I2</f>
        <v>-1200000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1" t="s">
        <v>454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1"/>
      <c r="B6" s="2" t="s">
        <v>80</v>
      </c>
      <c r="C6" s="2" t="s">
        <v>450</v>
      </c>
      <c r="D6" s="2" t="s">
        <v>450</v>
      </c>
      <c r="E6" s="2" t="s">
        <v>30</v>
      </c>
      <c r="F6" s="2">
        <v>600000</v>
      </c>
      <c r="G6" s="2"/>
      <c r="H6" s="2"/>
      <c r="I6" s="2">
        <v>600000</v>
      </c>
      <c r="J6" s="2" t="s">
        <v>450</v>
      </c>
      <c r="K6" s="2">
        <v>1.10434010400048e+16</v>
      </c>
      <c r="L6" s="2" t="s">
        <v>450</v>
      </c>
      <c r="M6" s="2" t="s">
        <v>451</v>
      </c>
      <c r="N6" s="2">
        <v>6.22845181001915e+18</v>
      </c>
      <c r="O6" s="2" t="s">
        <v>436</v>
      </c>
      <c r="P6" s="2">
        <v>45961</v>
      </c>
      <c r="Q6" s="2" t="s">
        <v>452</v>
      </c>
      <c r="R6" s="2" t="s">
        <v>453</v>
      </c>
      <c r="S6" s="2"/>
    </row>
    <row r="7" spans="1:19">
      <c r="A7" s="1"/>
      <c r="B7" s="2" t="s">
        <v>89</v>
      </c>
      <c r="C7" s="2"/>
      <c r="D7" s="2"/>
      <c r="E7" s="2"/>
      <c r="F7" s="2">
        <f t="shared" ref="F7:I7" si="0">F6-F5</f>
        <v>600000</v>
      </c>
      <c r="G7" s="2">
        <f t="shared" si="0"/>
        <v>0</v>
      </c>
      <c r="H7" s="2">
        <f t="shared" si="0"/>
        <v>0</v>
      </c>
      <c r="I7" s="2">
        <f t="shared" si="0"/>
        <v>600000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3"/>
      <c r="B8" s="3" t="s">
        <v>90</v>
      </c>
      <c r="C8" s="3"/>
      <c r="D8" s="3"/>
      <c r="E8" s="3"/>
      <c r="F8" s="3">
        <f>F7+F4</f>
        <v>600000</v>
      </c>
      <c r="G8" s="3">
        <f>G7+G4</f>
        <v>700000</v>
      </c>
      <c r="H8" s="3">
        <f>H7+H4</f>
        <v>500000</v>
      </c>
      <c r="I8" s="3">
        <f>I7+I4</f>
        <v>-600000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14" spans="1:19">
      <c r="C14" t="s">
        <v>17</v>
      </c>
      <c r="D14">
        <f>I8</f>
        <v>-600000</v>
      </c>
    </row>
    <row r="15" spans="1:19">
      <c r="C15" t="s">
        <v>455</v>
      </c>
      <c r="D15">
        <f>F8-G8</f>
        <v>-100000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F24" sqref="F24"/>
    </sheetView>
  </sheetViews>
  <sheetFormatPr defaultColWidth="5.63888888888889" defaultRowHeight="14.4"/>
  <cols>
    <col min="1" max="1" width="27.5462962962963" customWidth="1"/>
    <col min="2" max="2" width="7.5462962962963" customWidth="1"/>
    <col min="3" max="3" width="11.8148148148148" customWidth="1"/>
    <col min="4" max="5" width="9.5462962962963" customWidth="1"/>
    <col min="6" max="6" width="14" customWidth="1"/>
    <col min="7" max="7" width="7.5462962962963" customWidth="1"/>
    <col min="8" max="9" width="9.5462962962963" customWidth="1"/>
    <col min="10" max="10" width="11.8148148148148" customWidth="1"/>
    <col min="11" max="11" width="34.2685185185185" customWidth="1"/>
    <col min="12" max="12" width="10.5462962962963" customWidth="1"/>
    <col min="13" max="13" width="11.8148148148148" customWidth="1"/>
    <col min="14" max="14" width="14" customWidth="1"/>
    <col min="15" max="15" width="12.8148148148148" customWidth="1"/>
    <col min="16" max="16" width="29.8148148148148" customWidth="1"/>
    <col min="17" max="17" width="12.8148148148148" customWidth="1"/>
    <col min="18" max="18" width="7.5462962962963" customWidth="1"/>
    <col min="19" max="19" width="5.5462962962963" customWidth="1"/>
    <col min="20" max="16384" width="5.63888888888889" customWidth="1"/>
  </cols>
  <sheetData>
    <row r="1" spans="1:19">
      <c r="C1" t="s">
        <v>367</v>
      </c>
      <c r="D1" t="s">
        <v>174</v>
      </c>
      <c r="E1" t="s">
        <v>440</v>
      </c>
      <c r="F1" t="s">
        <v>174</v>
      </c>
      <c r="G1" t="s">
        <v>1</v>
      </c>
      <c r="H1" t="s">
        <v>419</v>
      </c>
      <c r="I1" t="s">
        <v>420</v>
      </c>
      <c r="J1" t="s">
        <v>421</v>
      </c>
      <c r="K1" t="s">
        <v>442</v>
      </c>
      <c r="L1" t="s">
        <v>214</v>
      </c>
      <c r="M1" t="s">
        <v>215</v>
      </c>
      <c r="N1" t="s">
        <v>443</v>
      </c>
      <c r="O1" t="s">
        <v>444</v>
      </c>
      <c r="P1" t="s">
        <v>445</v>
      </c>
      <c r="Q1" t="s">
        <v>456</v>
      </c>
      <c r="R1" t="s">
        <v>447</v>
      </c>
      <c r="S1" t="s">
        <v>59</v>
      </c>
    </row>
    <row r="2" spans="1:19">
      <c r="A2" s="1" t="s">
        <v>457</v>
      </c>
      <c r="B2" s="2" t="s">
        <v>67</v>
      </c>
      <c r="C2" s="2" t="s">
        <v>458</v>
      </c>
      <c r="D2" s="2" t="s">
        <v>459</v>
      </c>
      <c r="E2" s="2" t="s">
        <v>30</v>
      </c>
      <c r="F2" s="2" t="s">
        <v>460</v>
      </c>
      <c r="G2" s="2">
        <v>100000</v>
      </c>
      <c r="H2" s="2"/>
      <c r="I2" s="2"/>
      <c r="J2" s="2">
        <v>100000</v>
      </c>
      <c r="K2" s="2" t="s">
        <v>461</v>
      </c>
      <c r="L2" s="2">
        <v>634299352</v>
      </c>
      <c r="M2" s="2"/>
      <c r="N2" s="2" t="s">
        <v>290</v>
      </c>
      <c r="O2" s="2">
        <v>6.22848125919302e+18</v>
      </c>
      <c r="P2" s="2" t="s">
        <v>292</v>
      </c>
      <c r="Q2" s="2">
        <v>46052.9782060185</v>
      </c>
      <c r="R2" s="2" t="s">
        <v>462</v>
      </c>
    </row>
    <row r="3" spans="1:19">
      <c r="A3" s="1"/>
      <c r="B3" s="2" t="s">
        <v>80</v>
      </c>
      <c r="C3" s="2" t="s">
        <v>458</v>
      </c>
      <c r="D3" s="2" t="s">
        <v>459</v>
      </c>
      <c r="E3" s="2" t="s">
        <v>30</v>
      </c>
      <c r="F3" s="2" t="s">
        <v>460</v>
      </c>
      <c r="G3" s="2">
        <v>100000</v>
      </c>
      <c r="H3" s="2">
        <v>20000</v>
      </c>
      <c r="I3" s="2">
        <v>10000</v>
      </c>
      <c r="J3" s="2">
        <v>70000</v>
      </c>
      <c r="K3" s="2" t="s">
        <v>461</v>
      </c>
      <c r="L3" s="2">
        <v>634299352</v>
      </c>
      <c r="M3" s="2"/>
      <c r="N3" s="2" t="s">
        <v>290</v>
      </c>
      <c r="O3" s="2">
        <v>6.22848125919302e+18</v>
      </c>
      <c r="P3" s="2" t="s">
        <v>292</v>
      </c>
      <c r="Q3" s="2">
        <v>46052.9782060185</v>
      </c>
      <c r="R3" s="2" t="s">
        <v>462</v>
      </c>
    </row>
    <row r="4" spans="1:19">
      <c r="A4" s="1"/>
      <c r="B4" s="2" t="s">
        <v>89</v>
      </c>
      <c r="C4" s="2"/>
      <c r="D4" s="2"/>
      <c r="E4" s="2"/>
      <c r="F4" s="2"/>
      <c r="G4" s="2">
        <f>G3-G2</f>
        <v>0</v>
      </c>
      <c r="H4" s="2">
        <f>H3-H2</f>
        <v>20000</v>
      </c>
      <c r="I4" s="2">
        <f>I3-I2</f>
        <v>10000</v>
      </c>
      <c r="J4" s="2">
        <f>J3-J2</f>
        <v>-30000</v>
      </c>
      <c r="K4" s="2"/>
      <c r="L4" s="2"/>
      <c r="M4" s="2"/>
      <c r="N4" s="2"/>
      <c r="O4" s="2"/>
      <c r="P4" s="2"/>
      <c r="Q4" s="2"/>
      <c r="R4" s="2"/>
    </row>
    <row r="5" spans="1:19">
      <c r="A5" s="1" t="s">
        <v>463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9">
      <c r="A6" s="1"/>
      <c r="B6" s="2" t="s">
        <v>80</v>
      </c>
      <c r="C6" s="2" t="s">
        <v>458</v>
      </c>
      <c r="D6" s="2" t="s">
        <v>459</v>
      </c>
      <c r="E6" s="2" t="s">
        <v>30</v>
      </c>
      <c r="F6" s="2" t="s">
        <v>460</v>
      </c>
      <c r="G6" s="2">
        <v>40000</v>
      </c>
      <c r="H6" s="2"/>
      <c r="I6" s="2"/>
      <c r="J6" s="2">
        <v>40000</v>
      </c>
      <c r="K6" s="2" t="s">
        <v>461</v>
      </c>
      <c r="L6" s="2">
        <v>634299352</v>
      </c>
      <c r="M6" s="2"/>
      <c r="N6" s="2" t="s">
        <v>290</v>
      </c>
      <c r="O6" s="2">
        <v>6.22848125919302e+18</v>
      </c>
      <c r="P6" s="2" t="s">
        <v>292</v>
      </c>
      <c r="Q6" s="2">
        <v>46052.9782060185</v>
      </c>
      <c r="R6" s="2" t="s">
        <v>462</v>
      </c>
    </row>
    <row r="7" spans="1:19">
      <c r="A7" s="1"/>
      <c r="B7" s="2" t="s">
        <v>89</v>
      </c>
      <c r="C7" s="2"/>
      <c r="D7" s="2"/>
      <c r="E7" s="2"/>
      <c r="F7" s="2"/>
      <c r="G7" s="2">
        <f t="shared" ref="G7:J7" si="0">G6-G5</f>
        <v>40000</v>
      </c>
      <c r="H7" s="2">
        <f t="shared" si="0"/>
        <v>0</v>
      </c>
      <c r="I7" s="2">
        <f t="shared" si="0"/>
        <v>0</v>
      </c>
      <c r="J7" s="2">
        <f t="shared" si="0"/>
        <v>40000</v>
      </c>
      <c r="K7" s="2"/>
      <c r="L7" s="2"/>
      <c r="M7" s="2"/>
      <c r="N7" s="2"/>
      <c r="O7" s="2"/>
      <c r="P7" s="2"/>
      <c r="Q7" s="2"/>
      <c r="R7" s="2"/>
    </row>
    <row r="8" spans="1:19">
      <c r="A8" s="3"/>
      <c r="B8" s="3" t="s">
        <v>90</v>
      </c>
      <c r="C8" s="3"/>
      <c r="D8" s="3"/>
      <c r="E8" s="3"/>
      <c r="F8" s="3">
        <f t="shared" ref="F8:J8" si="1">F7+F4</f>
        <v>0</v>
      </c>
      <c r="G8" s="3">
        <f t="shared" si="1"/>
        <v>40000</v>
      </c>
      <c r="H8" s="3">
        <f t="shared" si="1"/>
        <v>20000</v>
      </c>
      <c r="I8" s="3">
        <f t="shared" si="1"/>
        <v>10000</v>
      </c>
      <c r="J8" s="3">
        <f t="shared" si="1"/>
        <v>10000</v>
      </c>
      <c r="K8" s="3"/>
      <c r="L8" s="3"/>
      <c r="M8" s="3"/>
      <c r="N8" s="3"/>
      <c r="O8" s="3"/>
      <c r="P8" s="3"/>
      <c r="Q8" s="3"/>
      <c r="R8" s="3"/>
      <c r="S8" s="3"/>
    </row>
    <row r="15" spans="1:19">
      <c r="A15" t="s">
        <v>19</v>
      </c>
      <c r="B15">
        <f>J8</f>
        <v>10000</v>
      </c>
    </row>
    <row r="16" spans="1:19">
      <c r="A16" t="s">
        <v>464</v>
      </c>
      <c r="B16">
        <f>G8-H8</f>
        <v>20000</v>
      </c>
    </row>
  </sheetData>
  <mergeCells count="2">
    <mergeCell ref="A2:A4"/>
    <mergeCell ref="A5:A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82550</xdr:colOff>
                <xdr:row>2</xdr:row>
                <xdr:rowOff>9525</xdr:rowOff>
              </to>
            </anchor>
          </controlPr>
        </control>
      </mc:Choice>
      <mc:Fallback>
        <control shapeId="3073" r:id="rId3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A26" sqref="A26"/>
    </sheetView>
  </sheetViews>
  <sheetFormatPr defaultColWidth="8.73148148148148" defaultRowHeight="14.4"/>
  <cols>
    <col min="1" max="1" width="27.5462962962963" customWidth="1"/>
    <col min="2" max="2" width="7.5462962962963" customWidth="1"/>
    <col min="3" max="3" width="11.8148148148148" customWidth="1"/>
    <col min="4" max="4" width="9.5462962962963" customWidth="1"/>
    <col min="5" max="5" width="16.2685185185185" customWidth="1"/>
    <col min="6" max="7" width="11.8148148148148" customWidth="1"/>
    <col min="8" max="8" width="9.5462962962963" customWidth="1"/>
    <col min="9" max="9" width="12.8148148148148" customWidth="1"/>
    <col min="10" max="10" width="11.8148148148148" customWidth="1"/>
    <col min="11" max="11" width="17.3611111111111" customWidth="1"/>
    <col min="12" max="12" width="12.8148148148148" customWidth="1"/>
    <col min="13" max="13" width="32" customWidth="1"/>
    <col min="14" max="14" width="9.5462962962963" customWidth="1"/>
    <col min="15" max="15" width="16.2685185185185" customWidth="1"/>
    <col min="16" max="16" width="25.2685185185185" customWidth="1"/>
    <col min="17" max="17" width="9.5462962962963" customWidth="1"/>
  </cols>
  <sheetData>
    <row r="1" spans="1:17">
      <c r="C1" t="s">
        <v>465</v>
      </c>
      <c r="D1" t="s">
        <v>417</v>
      </c>
      <c r="E1" t="s">
        <v>466</v>
      </c>
      <c r="F1" t="s">
        <v>441</v>
      </c>
      <c r="G1" t="s">
        <v>467</v>
      </c>
      <c r="H1" t="s">
        <v>442</v>
      </c>
      <c r="I1" t="s">
        <v>214</v>
      </c>
      <c r="J1" t="s">
        <v>215</v>
      </c>
      <c r="K1" t="s">
        <v>468</v>
      </c>
      <c r="L1" t="s">
        <v>444</v>
      </c>
      <c r="M1" t="s">
        <v>445</v>
      </c>
      <c r="N1" t="s">
        <v>469</v>
      </c>
      <c r="O1" t="s">
        <v>447</v>
      </c>
      <c r="P1" t="s">
        <v>59</v>
      </c>
      <c r="Q1" t="s">
        <v>470</v>
      </c>
    </row>
    <row r="2" spans="1:17">
      <c r="A2" s="1" t="s">
        <v>471</v>
      </c>
      <c r="B2" s="2" t="s">
        <v>67</v>
      </c>
      <c r="C2" s="2" t="s">
        <v>472</v>
      </c>
      <c r="D2" s="2" t="s">
        <v>115</v>
      </c>
      <c r="E2" s="2" t="s">
        <v>473</v>
      </c>
      <c r="F2" s="2">
        <v>80000</v>
      </c>
      <c r="G2" s="2">
        <v>80000</v>
      </c>
      <c r="H2" s="2" t="s">
        <v>473</v>
      </c>
      <c r="I2" s="2">
        <v>6.22848125143937e+18</v>
      </c>
      <c r="J2" s="2"/>
      <c r="K2" s="2" t="s">
        <v>290</v>
      </c>
      <c r="L2" s="2">
        <v>6.22848125919302e+18</v>
      </c>
      <c r="M2" s="2" t="s">
        <v>292</v>
      </c>
      <c r="N2" s="2"/>
      <c r="O2" s="2" t="s">
        <v>472</v>
      </c>
      <c r="P2" s="2" t="s">
        <v>474</v>
      </c>
      <c r="Q2" s="2"/>
    </row>
    <row r="3" spans="1:17">
      <c r="A3" s="1"/>
      <c r="B3" s="2" t="s">
        <v>80</v>
      </c>
      <c r="C3" s="2" t="s">
        <v>472</v>
      </c>
      <c r="D3" s="2" t="s">
        <v>115</v>
      </c>
      <c r="E3" s="2" t="s">
        <v>473</v>
      </c>
      <c r="F3" s="2">
        <v>80000</v>
      </c>
      <c r="G3" s="2">
        <v>40000</v>
      </c>
      <c r="H3" s="2" t="s">
        <v>473</v>
      </c>
      <c r="I3" s="2">
        <v>6.22848125143937e+18</v>
      </c>
      <c r="J3" s="2"/>
      <c r="K3" s="2" t="s">
        <v>290</v>
      </c>
      <c r="L3" s="2">
        <v>6.22848125919302e+18</v>
      </c>
      <c r="M3" s="2" t="s">
        <v>292</v>
      </c>
      <c r="N3" s="2"/>
      <c r="O3" s="2" t="s">
        <v>472</v>
      </c>
      <c r="P3" s="2" t="s">
        <v>474</v>
      </c>
      <c r="Q3" s="2"/>
    </row>
    <row r="4" spans="1:17">
      <c r="A4" s="1"/>
      <c r="B4" s="2" t="s">
        <v>89</v>
      </c>
      <c r="C4" s="2"/>
      <c r="D4" s="2"/>
      <c r="E4" s="2"/>
      <c r="F4" s="2">
        <f>F3-F2</f>
        <v>0</v>
      </c>
      <c r="G4" s="2">
        <f>G3-G2</f>
        <v>-40000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1" t="s">
        <v>471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"/>
      <c r="B6" s="2" t="s">
        <v>80</v>
      </c>
      <c r="C6" s="2" t="s">
        <v>472</v>
      </c>
      <c r="D6" s="2" t="s">
        <v>115</v>
      </c>
      <c r="E6" s="2" t="s">
        <v>475</v>
      </c>
      <c r="F6" s="2">
        <v>80000</v>
      </c>
      <c r="G6" s="2">
        <v>80000</v>
      </c>
      <c r="H6" s="2" t="s">
        <v>476</v>
      </c>
      <c r="I6" s="2">
        <v>6.22848125858605e+18</v>
      </c>
      <c r="J6" s="2" t="s">
        <v>476</v>
      </c>
      <c r="K6" s="2" t="s">
        <v>430</v>
      </c>
      <c r="L6" s="2">
        <v>6.22937010000863e+18</v>
      </c>
      <c r="M6" s="2" t="s">
        <v>431</v>
      </c>
      <c r="N6" s="2"/>
      <c r="O6" s="2" t="s">
        <v>477</v>
      </c>
      <c r="P6" s="2"/>
      <c r="Q6" s="2"/>
    </row>
    <row r="7" spans="1:17">
      <c r="A7" s="1"/>
      <c r="B7" s="2" t="s">
        <v>89</v>
      </c>
      <c r="C7" s="2"/>
      <c r="D7" s="2"/>
      <c r="E7" s="2"/>
      <c r="F7" s="2">
        <f>F6-F5</f>
        <v>80000</v>
      </c>
      <c r="G7" s="2">
        <f>G6-G5</f>
        <v>80000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90</v>
      </c>
      <c r="B8" s="2"/>
      <c r="C8" s="2"/>
      <c r="D8" s="2"/>
      <c r="E8" s="2"/>
      <c r="F8" s="2"/>
      <c r="G8" s="2">
        <f>G7+G4</f>
        <v>40000</v>
      </c>
      <c r="H8" s="2"/>
      <c r="I8" s="2"/>
      <c r="J8" s="2"/>
      <c r="K8" s="2"/>
      <c r="L8" s="2"/>
      <c r="M8" s="2"/>
      <c r="N8" s="2"/>
      <c r="O8" s="2"/>
      <c r="P8" s="2"/>
      <c r="Q8" s="2"/>
    </row>
    <row r="13" spans="1:17">
      <c r="A13" t="s">
        <v>21</v>
      </c>
      <c r="B13">
        <f>G8</f>
        <v>40000</v>
      </c>
    </row>
    <row r="14" spans="1:17">
      <c r="A14" t="s">
        <v>478</v>
      </c>
      <c r="B14">
        <f>G8</f>
        <v>40000</v>
      </c>
    </row>
  </sheetData>
  <mergeCells count="2">
    <mergeCell ref="A2:A4"/>
    <mergeCell ref="A5:A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0</xdr:colOff>
                <xdr:row>2</xdr:row>
                <xdr:rowOff>9525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2050" r:id="rId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总逻辑</vt:lpstr>
      <vt:lpstr>入库管理</vt:lpstr>
      <vt:lpstr>二次出库</vt:lpstr>
      <vt:lpstr>货物毁损记录</vt:lpstr>
      <vt:lpstr>订单调整单</vt:lpstr>
      <vt:lpstr>票点</vt:lpstr>
      <vt:lpstr>收款</vt:lpstr>
      <vt:lpstr>付款</vt:lpstr>
      <vt:lpstr>冲抵款</vt:lpstr>
      <vt:lpstr>供应商返利</vt:lpstr>
      <vt:lpstr>平账</vt:lpstr>
      <vt:lpstr>借入款管理</vt:lpstr>
      <vt:lpstr>员工或公司从我司借款</vt:lpstr>
      <vt:lpstr>期货保证金</vt:lpstr>
      <vt:lpstr>厂家保证金</vt:lpstr>
      <vt:lpstr>收取保证金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天明</cp:lastModifiedBy>
  <dcterms:created xsi:type="dcterms:W3CDTF">2023-05-12T11:15:00Z</dcterms:created>
  <dcterms:modified xsi:type="dcterms:W3CDTF">2026-02-10T14:37:55Z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9590040521F447369780867F592BEF9A_12</vt:lpwstr>
  </property>
  <property fmtid="{D5CDD505-2E9C-101B-9397-08002B2CF9AE}" pid="4" name="CalculationRule">
    <vt:i4>0</vt:i4>
  </property>
</Properties>
</file>