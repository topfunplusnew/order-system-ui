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 山东鲁霞玻璃科技有限公司" sheetId="2" r:id="rId1"/>
    <sheet name="山东超晶玻璃制品有限公司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<sst xmlns="http://schemas.openxmlformats.org/spreadsheetml/2006/main" count="68" uniqueCount="32">
  <si>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r>
      <rPr>
        <b/>
        <sz val="11"/>
        <rFont val="宋体"/>
        <charset val="134"/>
        <scheme val="minor"/>
      </rPr>
      <t>查询条件：按日期查询（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日到</t>
    </r>
    <r>
      <rPr>
        <b/>
        <u/>
        <sz val="11"/>
        <rFont val="宋体"/>
        <charset val="134"/>
        <scheme val="minor"/>
      </rPr>
      <t xml:space="preserve"> 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 xml:space="preserve">日）                        2024-04-01到2024-04-30  </t>
    </r>
    <r>
      <rPr>
        <b/>
        <u/>
        <sz val="11"/>
        <rFont val="宋体"/>
        <charset val="134"/>
        <scheme val="minor"/>
      </rPr>
      <t>山东鲁霞玻璃科技有限公司</t>
    </r>
    <r>
      <rPr>
        <b/>
        <sz val="11"/>
        <rFont val="宋体"/>
        <charset val="134"/>
        <scheme val="minor"/>
      </rPr>
      <t xml:space="preserve">社保和公积金缴纳明细             </t>
    </r>
  </si>
  <si>
    <t>本月社保缴纳基数</t>
  </si>
  <si>
    <t>本月公积金缴纳基数</t>
  </si>
  <si>
    <t>序号</t>
  </si>
  <si>
    <t>姓名</t>
  </si>
  <si>
    <t>缴纳社保和停止社保时间</t>
  </si>
  <si>
    <t>基本医疗保险</t>
  </si>
  <si>
    <t>工伤保险</t>
  </si>
  <si>
    <t>失业保险</t>
  </si>
  <si>
    <t>基本养老保险</t>
  </si>
  <si>
    <t>大额医疗保险</t>
  </si>
  <si>
    <t>住房公积金</t>
  </si>
  <si>
    <t>个人缴纳总额</t>
  </si>
  <si>
    <t>公司缴纳总额</t>
  </si>
  <si>
    <t>缴纳社保合计</t>
  </si>
  <si>
    <t>缴纳公积金合计</t>
  </si>
  <si>
    <t>增员时间</t>
  </si>
  <si>
    <t>减员时间</t>
  </si>
  <si>
    <t>公司缴纳</t>
  </si>
  <si>
    <t>个人缴纳</t>
  </si>
  <si>
    <t>张蕊</t>
  </si>
  <si>
    <t>宋真真</t>
  </si>
  <si>
    <t>张付利</t>
  </si>
  <si>
    <t>许跃齐</t>
  </si>
  <si>
    <t>李桂花</t>
  </si>
  <si>
    <t>宋海军</t>
  </si>
  <si>
    <t>合计</t>
  </si>
  <si>
    <t xml:space="preserve">SELECT  SUM(sumSelf+sumCompany-housingFundSelf-housingFundCompany)  as socialInsurance,housingFundSelf+housingFundCompany  as housingInsurance  FROM socialInsurance WHERE depName=? and insuranceDate &gt;='2020.01.01' AND   insuranceDate&lt;= '2022.01.01' 
</t>
  </si>
  <si>
    <r>
      <rPr>
        <b/>
        <sz val="11"/>
        <rFont val="宋体"/>
        <charset val="134"/>
        <scheme val="minor"/>
      </rPr>
      <t>查询条件：按日期查询（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日到</t>
    </r>
    <r>
      <rPr>
        <b/>
        <u/>
        <sz val="11"/>
        <rFont val="宋体"/>
        <charset val="134"/>
        <scheme val="minor"/>
      </rPr>
      <t xml:space="preserve">   </t>
    </r>
    <r>
      <rPr>
        <b/>
        <sz val="11"/>
        <rFont val="宋体"/>
        <charset val="134"/>
        <scheme val="minor"/>
      </rPr>
      <t>年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>月</t>
    </r>
    <r>
      <rPr>
        <b/>
        <u/>
        <sz val="11"/>
        <rFont val="宋体"/>
        <charset val="134"/>
        <scheme val="minor"/>
      </rPr>
      <t xml:space="preserve">  </t>
    </r>
    <r>
      <rPr>
        <b/>
        <sz val="11"/>
        <rFont val="宋体"/>
        <charset val="134"/>
        <scheme val="minor"/>
      </rPr>
      <t xml:space="preserve">日）                        2024-04-01到2024-04-30  </t>
    </r>
    <r>
      <rPr>
        <b/>
        <u/>
        <sz val="11"/>
        <rFont val="宋体"/>
        <charset val="134"/>
        <scheme val="minor"/>
      </rPr>
      <t>山东超晶玻璃制品有限公司</t>
    </r>
    <r>
      <rPr>
        <b/>
        <sz val="11"/>
        <rFont val="宋体"/>
        <charset val="134"/>
        <scheme val="minor"/>
      </rPr>
      <t xml:space="preserve">社保和公积金缴纳明细             </t>
    </r>
  </si>
  <si>
    <t>王二毛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</si>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</sst>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00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topLeftCell="A5" workbookViewId="0">
      <selection activeCell="E19" sqref="E19"/>
    </sheetView>
  </sheetViews>
  <sheetFormatPr defaultColWidth="9" defaultRowHeight="14.4"/>
  <cols>
    <col min="1" max="2" width="9" style="2"/>
    <col min="3" max="4" width="18.5" style="2" customWidth="1"/>
    <col min="5" max="5" width="9.25" style="2"/>
    <col min="6" max="9" width="9" style="2"/>
    <col min="10" max="11" width="9.25" style="2"/>
    <col min="12" max="15" width="9" style="2"/>
    <col min="16" max="18" width="9.25" style="2"/>
    <col min="19" max="16384" width="9" style="2"/>
  </cols>
  <sheetData>
    <row r="1" s="1" customFormat="1" ht="30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30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30" customHeight="1" spans="1:19">
      <c r="A3" s="4"/>
      <c r="B3" s="3" t="s">
        <v>1</v>
      </c>
      <c r="C3" s="3"/>
      <c r="D3" s="3"/>
      <c r="E3" s="3"/>
      <c r="F3" s="3">
        <v>4242</v>
      </c>
      <c r="G3" s="3"/>
      <c r="H3" s="3" t="s">
        <v>2</v>
      </c>
      <c r="I3" s="3"/>
      <c r="J3" s="3"/>
      <c r="K3" s="3">
        <v>1820</v>
      </c>
      <c r="L3" s="3"/>
      <c r="M3" s="3"/>
      <c r="N3" s="3"/>
      <c r="O3" s="3"/>
      <c r="P3" s="3"/>
      <c r="Q3" s="3"/>
      <c r="R3" s="3"/>
      <c r="S3" s="3"/>
    </row>
    <row r="4" s="1" customFormat="1" ht="30" customHeight="1" spans="1:19">
      <c r="A4" s="15" t="s">
        <v>3</v>
      </c>
      <c r="B4" s="3" t="s">
        <v>4</v>
      </c>
      <c r="C4" s="5" t="s">
        <v>5</v>
      </c>
      <c r="D4" s="6"/>
      <c r="E4" s="3" t="s">
        <v>6</v>
      </c>
      <c r="F4" s="3"/>
      <c r="G4" s="3" t="s">
        <v>7</v>
      </c>
      <c r="H4" s="3" t="s">
        <v>8</v>
      </c>
      <c r="I4" s="3"/>
      <c r="J4" s="3" t="s">
        <v>9</v>
      </c>
      <c r="K4" s="3"/>
      <c r="L4" s="3" t="s">
        <v>10</v>
      </c>
      <c r="M4" s="3"/>
      <c r="N4" s="3" t="s">
        <v>11</v>
      </c>
      <c r="O4" s="3"/>
      <c r="P4" s="8" t="s">
        <v>12</v>
      </c>
      <c r="Q4" s="8" t="s">
        <v>13</v>
      </c>
      <c r="R4" s="8" t="s">
        <v>14</v>
      </c>
      <c r="S4" s="8" t="s">
        <v>15</v>
      </c>
    </row>
    <row r="5" s="1" customFormat="1" ht="30" customHeight="1" spans="1:19">
      <c r="A5" s="16"/>
      <c r="B5" s="3"/>
      <c r="C5" s="3" t="s">
        <v>16</v>
      </c>
      <c r="D5" s="3" t="s">
        <v>17</v>
      </c>
      <c r="E5" s="3" t="s">
        <v>18</v>
      </c>
      <c r="F5" s="3" t="s">
        <v>19</v>
      </c>
      <c r="G5" s="3"/>
      <c r="H5" s="3" t="s">
        <v>18</v>
      </c>
      <c r="I5" s="3" t="s">
        <v>19</v>
      </c>
      <c r="J5" s="3" t="s">
        <v>18</v>
      </c>
      <c r="K5" s="3" t="s">
        <v>19</v>
      </c>
      <c r="L5" s="3" t="s">
        <v>18</v>
      </c>
      <c r="M5" s="3" t="s">
        <v>19</v>
      </c>
      <c r="N5" s="3" t="s">
        <v>18</v>
      </c>
      <c r="O5" s="3" t="s">
        <v>19</v>
      </c>
      <c r="P5" s="8"/>
      <c r="Q5" s="8"/>
      <c r="R5" s="8"/>
      <c r="S5" s="8"/>
    </row>
    <row r="6" s="1" customFormat="1" ht="30" customHeight="1" spans="1:19">
      <c r="A6" s="4">
        <v>1</v>
      </c>
      <c r="B6" s="7" t="s">
        <v>20</v>
      </c>
      <c r="C6" s="7"/>
      <c r="D6" s="7"/>
      <c r="E6" s="4">
        <v>339.36</v>
      </c>
      <c r="F6" s="3">
        <v>84.84</v>
      </c>
      <c r="G6" s="4">
        <v>16.97</v>
      </c>
      <c r="H6" s="3">
        <v>29.69</v>
      </c>
      <c r="I6" s="3">
        <v>12.73</v>
      </c>
      <c r="J6" s="3">
        <v>678.72</v>
      </c>
      <c r="K6" s="3">
        <v>339.36</v>
      </c>
      <c r="L6" s="3">
        <v>0</v>
      </c>
      <c r="M6" s="4">
        <v>0</v>
      </c>
      <c r="N6" s="4">
        <v>145.6</v>
      </c>
      <c r="O6" s="4">
        <v>145.6</v>
      </c>
      <c r="P6" s="3">
        <f>F6+I6+K6+M6+O6</f>
        <v>582.53</v>
      </c>
      <c r="Q6" s="3">
        <f>E6+G6+H6+J6+L6+N6</f>
        <v>1210.34</v>
      </c>
      <c r="R6" s="3">
        <f>SUM(E12:M12)</f>
        <v>6006.68</v>
      </c>
      <c r="S6" s="10">
        <f>SUM(N12:O12)</f>
        <v>2019.2</v>
      </c>
    </row>
    <row r="7" s="1" customFormat="1" ht="30" customHeight="1" spans="1:19">
      <c r="A7" s="4">
        <v>2</v>
      </c>
      <c r="B7" s="7" t="s">
        <v>21</v>
      </c>
      <c r="C7" s="7"/>
      <c r="D7" s="7"/>
      <c r="E7" s="4">
        <v>339.36</v>
      </c>
      <c r="F7" s="3">
        <v>84.84</v>
      </c>
      <c r="G7" s="4">
        <v>16.97</v>
      </c>
      <c r="H7" s="3">
        <v>29.69</v>
      </c>
      <c r="I7" s="3">
        <v>12.73</v>
      </c>
      <c r="J7" s="3">
        <v>678.72</v>
      </c>
      <c r="K7" s="3">
        <v>339.36</v>
      </c>
      <c r="L7" s="3">
        <v>0</v>
      </c>
      <c r="M7" s="4">
        <v>0</v>
      </c>
      <c r="N7" s="4">
        <v>145.6</v>
      </c>
      <c r="O7" s="4">
        <v>145.6</v>
      </c>
      <c r="P7" s="3">
        <f t="shared" ref="P6:P11" si="0">F7+I7+K7+M7+O7</f>
        <v>582.53</v>
      </c>
      <c r="Q7" s="3">
        <f t="shared" ref="Q6:Q11" si="1">E7+G7+H7+J7+L7+N7</f>
        <v>1210.34</v>
      </c>
      <c r="R7" s="3"/>
      <c r="S7" s="11"/>
    </row>
    <row r="8" s="1" customFormat="1" ht="30" customHeight="1" spans="1:21">
      <c r="A8" s="4">
        <v>3</v>
      </c>
      <c r="B8" s="7" t="s">
        <v>22</v>
      </c>
      <c r="C8" s="7"/>
      <c r="D8" s="7"/>
      <c r="E8" s="4">
        <v>339.36</v>
      </c>
      <c r="F8" s="3">
        <v>84.84</v>
      </c>
      <c r="G8" s="4">
        <v>16.97</v>
      </c>
      <c r="H8" s="3">
        <v>29.69</v>
      </c>
      <c r="I8" s="3">
        <v>12.73</v>
      </c>
      <c r="J8" s="3">
        <v>678.72</v>
      </c>
      <c r="K8" s="3">
        <v>339.36</v>
      </c>
      <c r="L8" s="3">
        <v>0</v>
      </c>
      <c r="M8" s="4">
        <v>0</v>
      </c>
      <c r="N8" s="4">
        <v>145.6</v>
      </c>
      <c r="O8" s="4">
        <v>145.6</v>
      </c>
      <c r="P8" s="3">
        <f t="shared" si="0"/>
        <v>582.53</v>
      </c>
      <c r="Q8" s="3">
        <f t="shared" si="1"/>
        <v>1210.34</v>
      </c>
      <c r="R8" s="3"/>
      <c r="S8" s="11"/>
      <c r="T8" s="12"/>
      <c r="U8" s="13"/>
    </row>
    <row r="9" s="1" customFormat="1" ht="30" customHeight="1" spans="1:21">
      <c r="A9" s="4">
        <v>4</v>
      </c>
      <c r="B9" s="7" t="s">
        <v>23</v>
      </c>
      <c r="C9" s="7"/>
      <c r="D9" s="7"/>
      <c r="E9" s="4">
        <v>339.36</v>
      </c>
      <c r="F9" s="3">
        <v>84.84</v>
      </c>
      <c r="G9" s="4">
        <v>16.97</v>
      </c>
      <c r="H9" s="3">
        <v>29.69</v>
      </c>
      <c r="I9" s="3">
        <v>12.73</v>
      </c>
      <c r="J9" s="3">
        <v>678.72</v>
      </c>
      <c r="K9" s="3">
        <v>339.36</v>
      </c>
      <c r="L9" s="3">
        <v>0</v>
      </c>
      <c r="M9" s="4">
        <v>0</v>
      </c>
      <c r="N9" s="4">
        <f>145.6+136</f>
        <v>281.6</v>
      </c>
      <c r="O9" s="4">
        <f>145.6+136</f>
        <v>281.6</v>
      </c>
      <c r="P9" s="3">
        <f t="shared" si="0"/>
        <v>718.53</v>
      </c>
      <c r="Q9" s="3">
        <f t="shared" si="1"/>
        <v>1346.34</v>
      </c>
      <c r="R9" s="3"/>
      <c r="S9" s="11"/>
      <c r="T9" s="12"/>
      <c r="U9" s="13"/>
    </row>
    <row r="10" s="1" customFormat="1" ht="30" customHeight="1" spans="1:19">
      <c r="A10" s="4">
        <v>5</v>
      </c>
      <c r="B10" s="3" t="s">
        <v>24</v>
      </c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4">
        <v>145.6</v>
      </c>
      <c r="O10" s="4">
        <v>145.6</v>
      </c>
      <c r="P10" s="3">
        <f t="shared" si="0"/>
        <v>145.6</v>
      </c>
      <c r="Q10" s="3">
        <f t="shared" si="1"/>
        <v>145.6</v>
      </c>
      <c r="R10" s="3"/>
      <c r="S10" s="11"/>
    </row>
    <row r="11" s="1" customFormat="1" ht="30" customHeight="1" spans="1:19">
      <c r="A11" s="4">
        <v>6</v>
      </c>
      <c r="B11" s="3" t="s">
        <v>25</v>
      </c>
      <c r="C11" s="3"/>
      <c r="D11" s="3"/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4">
        <v>145.6</v>
      </c>
      <c r="O11" s="4">
        <v>145.6</v>
      </c>
      <c r="P11" s="3">
        <f t="shared" si="0"/>
        <v>145.6</v>
      </c>
      <c r="Q11" s="3">
        <f t="shared" si="1"/>
        <v>145.6</v>
      </c>
      <c r="R11" s="3"/>
      <c r="S11" s="11"/>
    </row>
    <row r="12" s="1" customFormat="1" ht="30" customHeight="1" spans="1:19">
      <c r="A12" s="4"/>
      <c r="B12" s="3" t="s">
        <v>26</v>
      </c>
      <c r="C12" s="3"/>
      <c r="D12" s="3"/>
      <c r="E12" s="3">
        <f t="shared" ref="E12:Q12" si="2">SUM(E6:E11)</f>
        <v>1357.44</v>
      </c>
      <c r="F12" s="3">
        <f t="shared" si="2"/>
        <v>339.36</v>
      </c>
      <c r="G12" s="3">
        <f t="shared" si="2"/>
        <v>67.88</v>
      </c>
      <c r="H12" s="3">
        <f t="shared" si="2"/>
        <v>118.76</v>
      </c>
      <c r="I12" s="3">
        <f t="shared" si="2"/>
        <v>50.92</v>
      </c>
      <c r="J12" s="3">
        <f t="shared" si="2"/>
        <v>2714.88</v>
      </c>
      <c r="K12" s="3">
        <f t="shared" si="2"/>
        <v>1357.44</v>
      </c>
      <c r="L12" s="3">
        <f t="shared" si="2"/>
        <v>0</v>
      </c>
      <c r="M12" s="3">
        <f t="shared" si="2"/>
        <v>0</v>
      </c>
      <c r="N12" s="4">
        <f t="shared" si="2"/>
        <v>1009.6</v>
      </c>
      <c r="O12" s="3">
        <f t="shared" si="2"/>
        <v>1009.6</v>
      </c>
      <c r="P12" s="9">
        <f t="shared" si="2"/>
        <v>2757.32</v>
      </c>
      <c r="Q12" s="9">
        <f t="shared" si="2"/>
        <v>5268.56</v>
      </c>
      <c r="R12" s="3"/>
      <c r="S12" s="14"/>
    </row>
    <row r="15" spans="1:1">
      <c r="A15" s="17" t="s">
        <v>27</v>
      </c>
    </row>
  </sheetData>
  <mergeCells count="19">
    <mergeCell ref="B3:E3"/>
    <mergeCell ref="H3:J3"/>
    <mergeCell ref="C4:D4"/>
    <mergeCell ref="E4:F4"/>
    <mergeCell ref="H4:I4"/>
    <mergeCell ref="J4:K4"/>
    <mergeCell ref="L4:M4"/>
    <mergeCell ref="N4:O4"/>
    <mergeCell ref="A15:S15"/>
    <mergeCell ref="A4:A5"/>
    <mergeCell ref="B4:B5"/>
    <mergeCell ref="G4:G5"/>
    <mergeCell ref="P4:P5"/>
    <mergeCell ref="Q4:Q5"/>
    <mergeCell ref="R4:R5"/>
    <mergeCell ref="R6:R12"/>
    <mergeCell ref="S4:S5"/>
    <mergeCell ref="S6:S12"/>
    <mergeCell ref="A1:S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workbookViewId="0">
      <selection activeCell="K6" sqref="K6:K8"/>
    </sheetView>
  </sheetViews>
  <sheetFormatPr defaultColWidth="9" defaultRowHeight="14.4"/>
  <cols>
    <col min="1" max="1" width="16.75" style="2"/>
    <col min="2" max="2" width="13.1296296296296" style="2" customWidth="1"/>
    <col min="3" max="3" width="16.3796296296296" style="2" customWidth="1"/>
    <col min="4" max="4" width="13.25" style="2" customWidth="1"/>
    <col min="5" max="5" width="9.25" style="2"/>
    <col min="6" max="9" width="16.75" style="2"/>
    <col min="10" max="11" width="9.25" style="2"/>
    <col min="12" max="15" width="16.75" style="2"/>
    <col min="16" max="18" width="9.25" style="2"/>
    <col min="19" max="16384" width="16.75" style="2"/>
  </cols>
  <sheetData>
    <row r="1" s="1" customFormat="1" ht="30" customHeight="1" spans="1:19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30" customHeigh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1" customFormat="1" ht="30" customHeight="1" spans="1:19">
      <c r="A3" s="4"/>
      <c r="B3" s="3" t="s">
        <v>1</v>
      </c>
      <c r="C3" s="3"/>
      <c r="D3" s="3"/>
      <c r="E3" s="3"/>
      <c r="F3" s="3">
        <v>4242</v>
      </c>
      <c r="G3" s="3"/>
      <c r="H3" s="3" t="s">
        <v>2</v>
      </c>
      <c r="I3" s="3"/>
      <c r="J3" s="3"/>
      <c r="K3" s="3">
        <v>1820</v>
      </c>
      <c r="L3" s="3"/>
      <c r="M3" s="3"/>
      <c r="N3" s="3"/>
      <c r="O3" s="3"/>
      <c r="P3" s="3"/>
      <c r="Q3" s="3"/>
      <c r="R3" s="3"/>
      <c r="S3" s="3"/>
    </row>
    <row r="4" s="1" customFormat="1" ht="30" customHeight="1" spans="1:19">
      <c r="A4" s="4" t="s">
        <v>3</v>
      </c>
      <c r="B4" s="3" t="s">
        <v>4</v>
      </c>
      <c r="C4" s="5" t="s">
        <v>5</v>
      </c>
      <c r="D4" s="6"/>
      <c r="E4" s="3" t="s">
        <v>6</v>
      </c>
      <c r="F4" s="3"/>
      <c r="G4" s="3" t="s">
        <v>7</v>
      </c>
      <c r="H4" s="3" t="s">
        <v>8</v>
      </c>
      <c r="I4" s="3"/>
      <c r="J4" s="3" t="s">
        <v>9</v>
      </c>
      <c r="K4" s="3"/>
      <c r="L4" s="3" t="s">
        <v>10</v>
      </c>
      <c r="M4" s="3"/>
      <c r="N4" s="3" t="s">
        <v>11</v>
      </c>
      <c r="O4" s="3"/>
      <c r="P4" s="8" t="s">
        <v>12</v>
      </c>
      <c r="Q4" s="8" t="s">
        <v>13</v>
      </c>
      <c r="R4" s="8" t="s">
        <v>14</v>
      </c>
      <c r="S4" s="8" t="s">
        <v>15</v>
      </c>
    </row>
    <row r="5" s="1" customFormat="1" ht="30" customHeight="1" spans="1:19">
      <c r="A5" s="4"/>
      <c r="B5" s="3"/>
      <c r="C5" s="3" t="s">
        <v>16</v>
      </c>
      <c r="D5" s="3" t="s">
        <v>17</v>
      </c>
      <c r="E5" s="3" t="s">
        <v>18</v>
      </c>
      <c r="F5" s="3" t="s">
        <v>19</v>
      </c>
      <c r="G5" s="3"/>
      <c r="H5" s="3" t="s">
        <v>18</v>
      </c>
      <c r="I5" s="3" t="s">
        <v>19</v>
      </c>
      <c r="J5" s="3" t="s">
        <v>18</v>
      </c>
      <c r="K5" s="3" t="s">
        <v>19</v>
      </c>
      <c r="L5" s="3" t="s">
        <v>18</v>
      </c>
      <c r="M5" s="3" t="s">
        <v>19</v>
      </c>
      <c r="N5" s="3" t="s">
        <v>18</v>
      </c>
      <c r="O5" s="3" t="s">
        <v>19</v>
      </c>
      <c r="P5" s="8"/>
      <c r="Q5" s="8"/>
      <c r="R5" s="8"/>
      <c r="S5" s="8"/>
    </row>
    <row r="6" s="1" customFormat="1" ht="30" customHeight="1" spans="1:19">
      <c r="A6" s="4">
        <v>1</v>
      </c>
      <c r="B6" s="7" t="s">
        <v>29</v>
      </c>
      <c r="C6" s="7"/>
      <c r="D6" s="7"/>
      <c r="E6" s="4">
        <v>339.36</v>
      </c>
      <c r="F6" s="3">
        <v>84.84</v>
      </c>
      <c r="G6" s="4">
        <v>16.97</v>
      </c>
      <c r="H6" s="3">
        <v>29.69</v>
      </c>
      <c r="I6" s="3">
        <v>12.73</v>
      </c>
      <c r="J6" s="3">
        <v>678.72</v>
      </c>
      <c r="K6" s="3">
        <v>339.36</v>
      </c>
      <c r="L6" s="3">
        <v>0</v>
      </c>
      <c r="M6" s="4">
        <v>0</v>
      </c>
      <c r="N6" s="4">
        <v>145.6</v>
      </c>
      <c r="O6" s="4">
        <v>145.6</v>
      </c>
      <c r="P6" s="3">
        <f>F6+I6+K6+M6+O6</f>
        <v>582.53</v>
      </c>
      <c r="Q6" s="3">
        <f>E6+G6+H6+J6+L6+N6</f>
        <v>1210.34</v>
      </c>
      <c r="R6" s="3">
        <f>SUM(E9:M9)</f>
        <v>4505.01</v>
      </c>
      <c r="S6" s="10">
        <f>SUM(N9:O9)</f>
        <v>873.6</v>
      </c>
    </row>
    <row r="7" s="1" customFormat="1" ht="30" customHeight="1" spans="1:19">
      <c r="A7" s="4">
        <v>2</v>
      </c>
      <c r="B7" s="7" t="s">
        <v>30</v>
      </c>
      <c r="C7" s="7"/>
      <c r="D7" s="7"/>
      <c r="E7" s="4">
        <v>339.36</v>
      </c>
      <c r="F7" s="3">
        <v>84.84</v>
      </c>
      <c r="G7" s="4">
        <v>16.97</v>
      </c>
      <c r="H7" s="3">
        <v>29.69</v>
      </c>
      <c r="I7" s="3">
        <v>12.73</v>
      </c>
      <c r="J7" s="3">
        <v>678.72</v>
      </c>
      <c r="K7" s="3">
        <v>339.36</v>
      </c>
      <c r="L7" s="3">
        <v>0</v>
      </c>
      <c r="M7" s="4">
        <v>0</v>
      </c>
      <c r="N7" s="4">
        <v>145.6</v>
      </c>
      <c r="O7" s="4">
        <v>145.6</v>
      </c>
      <c r="P7" s="3">
        <f>F7+I7+K7+M7+O7</f>
        <v>582.53</v>
      </c>
      <c r="Q7" s="3">
        <f>E7+G7+H7+J7+L7+N7</f>
        <v>1210.34</v>
      </c>
      <c r="R7" s="3"/>
      <c r="S7" s="11"/>
    </row>
    <row r="8" s="1" customFormat="1" ht="30" customHeight="1" spans="1:21">
      <c r="A8" s="4">
        <v>3</v>
      </c>
      <c r="B8" s="7" t="s">
        <v>31</v>
      </c>
      <c r="C8" s="7"/>
      <c r="D8" s="7"/>
      <c r="E8" s="4">
        <v>339.36</v>
      </c>
      <c r="F8" s="3">
        <v>84.84</v>
      </c>
      <c r="G8" s="4">
        <v>16.97</v>
      </c>
      <c r="H8" s="3">
        <v>29.69</v>
      </c>
      <c r="I8" s="3">
        <v>12.73</v>
      </c>
      <c r="J8" s="3">
        <v>678.72</v>
      </c>
      <c r="K8" s="3">
        <v>339.36</v>
      </c>
      <c r="L8" s="3">
        <v>0</v>
      </c>
      <c r="M8" s="4">
        <v>0</v>
      </c>
      <c r="N8" s="4">
        <v>145.6</v>
      </c>
      <c r="O8" s="4">
        <v>145.6</v>
      </c>
      <c r="P8" s="3">
        <f>F8+I8+K8+M8+O8</f>
        <v>582.53</v>
      </c>
      <c r="Q8" s="3">
        <f>E8+G8+H8+J8+L8+N8</f>
        <v>1210.34</v>
      </c>
      <c r="R8" s="3"/>
      <c r="S8" s="11"/>
      <c r="T8" s="12"/>
      <c r="U8" s="13"/>
    </row>
    <row r="9" s="1" customFormat="1" ht="30" customHeight="1" spans="1:19">
      <c r="A9" s="4"/>
      <c r="B9" s="3" t="s">
        <v>26</v>
      </c>
      <c r="C9" s="3"/>
      <c r="D9" s="3"/>
      <c r="E9" s="3">
        <f>SUM(E6:E8)</f>
        <v>1018.08</v>
      </c>
      <c r="F9" s="3">
        <f t="shared" ref="E9:Q9" si="0">SUM(F6:F8)</f>
        <v>254.52</v>
      </c>
      <c r="G9" s="3">
        <f t="shared" si="0"/>
        <v>50.91</v>
      </c>
      <c r="H9" s="3">
        <f t="shared" si="0"/>
        <v>89.07</v>
      </c>
      <c r="I9" s="3">
        <f t="shared" si="0"/>
        <v>38.19</v>
      </c>
      <c r="J9" s="3">
        <f t="shared" si="0"/>
        <v>2036.16</v>
      </c>
      <c r="K9" s="3">
        <f t="shared" si="0"/>
        <v>1018.08</v>
      </c>
      <c r="L9" s="3">
        <f t="shared" si="0"/>
        <v>0</v>
      </c>
      <c r="M9" s="3">
        <f t="shared" si="0"/>
        <v>0</v>
      </c>
      <c r="N9" s="4">
        <f t="shared" si="0"/>
        <v>436.8</v>
      </c>
      <c r="O9" s="3">
        <f t="shared" si="0"/>
        <v>436.8</v>
      </c>
      <c r="P9" s="9">
        <f t="shared" si="0"/>
        <v>1747.59</v>
      </c>
      <c r="Q9" s="9">
        <f t="shared" si="0"/>
        <v>3631.02</v>
      </c>
      <c r="R9" s="3"/>
      <c r="S9" s="14"/>
    </row>
  </sheetData>
  <mergeCells count="18">
    <mergeCell ref="B3:E3"/>
    <mergeCell ref="H3:J3"/>
    <mergeCell ref="C4:D4"/>
    <mergeCell ref="E4:F4"/>
    <mergeCell ref="H4:I4"/>
    <mergeCell ref="J4:K4"/>
    <mergeCell ref="L4:M4"/>
    <mergeCell ref="N4:O4"/>
    <mergeCell ref="A4:A5"/>
    <mergeCell ref="B4:B5"/>
    <mergeCell ref="G4:G5"/>
    <mergeCell ref="P4:P5"/>
    <mergeCell ref="Q4:Q5"/>
    <mergeCell ref="R4:R5"/>
    <mergeCell ref="R6:R9"/>
    <mergeCell ref="S4:S5"/>
    <mergeCell ref="S6:S9"/>
    <mergeCell ref="A1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山东鲁霞玻璃科技有限公司</vt:lpstr>
      <vt:lpstr>山东超晶玻璃制品有限公司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一乐</cp:lastModifiedBy>
  <dcterms:created xsi:type="dcterms:W3CDTF">2024-07-10T08:56:00Z</dcterms:created>
  <dcterms:modified xsi:type="dcterms:W3CDTF">2024-07-24T13:10:10Z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8BDBD75DE3AE4765A26746E98FF477E4_13</vt:lpwstr>
  </property>
  <property fmtid="{D5CDD505-2E9C-101B-9397-08002B2CF9AE}" pid="3" name="KSOProductBuildVer">
    <vt:lpwstr>2052-12.1.0.16120</vt:lpwstr>
  </property>
</Properties>
</file>