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是否含税 --(厂家 否) 和（客户 否 ）" sheetId="1" r:id="rId1"/>
    <sheet name="是否含税---（厂家 是）和（客户  否）" sheetId="2" r:id="rId2"/>
    <sheet name="是否含税----（厂家 否 ）和（客户   是）" sheetId="3" r:id="rId3"/>
    <sheet name="是否含税---（厂家 是）和（客户 是）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<sst xmlns="http://schemas.openxmlformats.org/spreadsheetml/2006/main" count="168" uniqueCount="44">
  <si>
    <t>订单列表 --------是否含税  -----（厂家 否) 和 (客户 否  )</t>
  </si>
  <si>
    <t>供应商</t>
  </si>
  <si>
    <t>产品级别</t>
  </si>
  <si>
    <t>计量单位</t>
  </si>
  <si>
    <t>厚度</t>
  </si>
  <si>
    <t>长度</t>
  </si>
  <si>
    <t>宽度</t>
  </si>
  <si>
    <t>每包片数</t>
  </si>
  <si>
    <t>包数</t>
  </si>
  <si>
    <t>出厂片数</t>
  </si>
  <si>
    <t>出厂单价</t>
  </si>
  <si>
    <t>是否含税</t>
  </si>
  <si>
    <t>杂费</t>
  </si>
  <si>
    <t>出厂货款</t>
  </si>
  <si>
    <t>卸货片数</t>
  </si>
  <si>
    <t>卸货价</t>
  </si>
  <si>
    <t>总货款</t>
  </si>
  <si>
    <t>误差</t>
  </si>
  <si>
    <t>吨位</t>
  </si>
  <si>
    <t>运费单价</t>
  </si>
  <si>
    <t>加费</t>
  </si>
  <si>
    <t>运费</t>
  </si>
  <si>
    <t>其他费用</t>
  </si>
  <si>
    <t>利润</t>
  </si>
  <si>
    <t>不含税利润</t>
  </si>
  <si>
    <t>备注</t>
  </si>
  <si>
    <t>返利金额</t>
  </si>
  <si>
    <t>降价金额</t>
  </si>
  <si>
    <t>物流利润</t>
  </si>
  <si>
    <t>客户佣金</t>
  </si>
  <si>
    <t>广信玻璃</t>
  </si>
  <si>
    <t>超白长虹油砂（河南贵山）</t>
  </si>
  <si>
    <t>片数</t>
  </si>
  <si>
    <t>否</t>
  </si>
  <si>
    <t>不参与计算</t>
  </si>
  <si>
    <t>备注：公式需要设置全部保留两位小数</t>
  </si>
  <si>
    <t>订单列表----是否含税----（厂家 是）和（客户 否）</t>
  </si>
  <si>
    <t>本溪玉晶-鲁运</t>
  </si>
  <si>
    <t>本溪玉晶一等品</t>
  </si>
  <si>
    <t>是</t>
  </si>
  <si>
    <t>订单列表-----是否含税---（厂家 否）和（客户 是）</t>
  </si>
  <si>
    <t>张家港仁达顾海龙</t>
  </si>
  <si>
    <t>滕州金晶单银lowe183</t>
  </si>
  <si>
    <t>订单列表-------是否含税  ----（厂家含税 是）  和（客户含税  是）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</si>
</sst>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1">
    <font>
      <sz val="11"/>
      <color theme="1"/>
      <name val="宋体"/>
      <charset val="134"/>
      <scheme val="minor"/>
    </font>
    <font>
      <b/>
      <sz val="12"/>
      <color theme="1"/>
      <name val="华文新魏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华文新魏"/>
      <charset val="134"/>
    </font>
    <font>
      <b/>
      <sz val="16"/>
      <color theme="1"/>
      <name val="华文新魏"/>
      <charset val="134"/>
    </font>
    <font>
      <b/>
      <sz val="20"/>
      <color rgb="FFFF0000"/>
      <name val="华文新魏"/>
      <charset val="134"/>
    </font>
    <font>
      <b/>
      <sz val="12"/>
      <color rgb="FFFF0000"/>
      <name val="华文新魏"/>
      <charset val="134"/>
    </font>
    <font>
      <b/>
      <sz val="14"/>
      <color theme="1"/>
      <name val="宋体"/>
      <charset val="134"/>
      <scheme val="minor"/>
    </font>
    <font>
      <b/>
      <sz val="14"/>
      <color theme="1"/>
      <name val="华文新魏"/>
      <charset val="134"/>
    </font>
    <font>
      <b/>
      <sz val="14"/>
      <color rgb="FFFF0000"/>
      <name val="宋体"/>
      <charset val="134"/>
      <scheme val="minor"/>
    </font>
    <font>
      <b/>
      <sz val="20"/>
      <color theme="1"/>
      <name val="华文新魏"/>
      <charset val="134"/>
    </font>
    <font>
      <b/>
      <sz val="16"/>
      <color rgb="FFFF0000"/>
      <name val="华文新魏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76" fontId="9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"/>
  <sheetViews>
    <sheetView tabSelected="1" workbookViewId="0">
      <selection activeCell="N19" sqref="N19"/>
    </sheetView>
  </sheetViews>
  <sheetFormatPr defaultColWidth="9" defaultRowHeight="13.5" outlineLevelRow="7"/>
  <cols>
    <col min="1" max="12" width="9" style="2"/>
    <col min="13" max="13" width="10.375" style="2"/>
    <col min="14" max="17" width="9" style="2"/>
    <col min="18" max="18" width="11.625" style="2"/>
    <col min="19" max="19" width="9" style="2"/>
    <col min="20" max="20" width="9.375" style="2"/>
    <col min="21" max="22" width="9" style="2"/>
    <col min="23" max="23" width="9.375" style="2"/>
    <col min="24" max="24" width="9" style="2"/>
    <col min="25" max="26" width="9.375" style="2"/>
    <col min="27" max="16384" width="9" style="2"/>
  </cols>
  <sheetData>
    <row r="1" ht="59" customHeight="1" spans="1:3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="32" customFormat="1" ht="31.5" spans="1:31">
      <c r="A2" s="36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36" t="s">
        <v>15</v>
      </c>
      <c r="P2" s="36" t="s">
        <v>11</v>
      </c>
      <c r="Q2" s="36" t="s">
        <v>12</v>
      </c>
      <c r="R2" s="36" t="s">
        <v>16</v>
      </c>
      <c r="S2" s="36" t="s">
        <v>17</v>
      </c>
      <c r="T2" s="36" t="s">
        <v>18</v>
      </c>
      <c r="U2" s="36" t="s">
        <v>19</v>
      </c>
      <c r="V2" s="36" t="s">
        <v>20</v>
      </c>
      <c r="W2" s="36" t="s">
        <v>21</v>
      </c>
      <c r="X2" s="36" t="s">
        <v>22</v>
      </c>
      <c r="Y2" s="36" t="s">
        <v>23</v>
      </c>
      <c r="Z2" s="36" t="s">
        <v>24</v>
      </c>
      <c r="AA2" s="36" t="s">
        <v>25</v>
      </c>
      <c r="AB2" s="36" t="s">
        <v>26</v>
      </c>
      <c r="AC2" s="36" t="s">
        <v>27</v>
      </c>
      <c r="AD2" s="36" t="s">
        <v>28</v>
      </c>
      <c r="AE2" s="36" t="s">
        <v>29</v>
      </c>
    </row>
    <row r="3" s="33" customFormat="1" ht="63" spans="1:31">
      <c r="A3" s="37" t="s">
        <v>30</v>
      </c>
      <c r="B3" s="37" t="s">
        <v>31</v>
      </c>
      <c r="C3" s="37" t="s">
        <v>32</v>
      </c>
      <c r="D3" s="38">
        <v>8</v>
      </c>
      <c r="E3" s="38">
        <v>2440</v>
      </c>
      <c r="F3" s="38">
        <v>2100</v>
      </c>
      <c r="G3" s="38">
        <v>30</v>
      </c>
      <c r="H3" s="38">
        <v>1</v>
      </c>
      <c r="I3" s="38">
        <v>30</v>
      </c>
      <c r="J3" s="38">
        <v>49</v>
      </c>
      <c r="K3" s="41" t="s">
        <v>33</v>
      </c>
      <c r="L3" s="38"/>
      <c r="M3" s="42">
        <f>E3*F3*I3/1000000*J3+L3</f>
        <v>7532.28</v>
      </c>
      <c r="N3" s="38">
        <v>30</v>
      </c>
      <c r="O3" s="38">
        <v>51.8</v>
      </c>
      <c r="P3" s="41" t="s">
        <v>33</v>
      </c>
      <c r="Q3" s="38"/>
      <c r="R3" s="43">
        <f>E3*F3*N3/1000000*O3+Q3</f>
        <v>7962.696</v>
      </c>
      <c r="S3" s="38">
        <v>0.8</v>
      </c>
      <c r="T3" s="43">
        <f>(D3-S3)*E3*F3*I3/1000000/20/20</f>
        <v>2.76696</v>
      </c>
      <c r="U3" s="38">
        <v>140</v>
      </c>
      <c r="V3" s="38">
        <v>-100</v>
      </c>
      <c r="W3" s="43">
        <f>T3*U3+V3</f>
        <v>287.3744</v>
      </c>
      <c r="X3" s="38"/>
      <c r="Y3" s="43">
        <f>R3-M3-W3</f>
        <v>143.0416</v>
      </c>
      <c r="Z3" s="43">
        <f>R3-M3-W3-X3</f>
        <v>143.0416</v>
      </c>
      <c r="AA3" s="38"/>
      <c r="AB3" s="22" t="s">
        <v>34</v>
      </c>
      <c r="AC3" s="22" t="s">
        <v>34</v>
      </c>
      <c r="AD3" s="22" t="s">
        <v>34</v>
      </c>
      <c r="AE3" s="22" t="s">
        <v>34</v>
      </c>
    </row>
    <row r="4" ht="15.75" spans="1:3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ht="15.75" spans="1:3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ht="15.75" spans="1:3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ht="15.75" spans="1:3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ht="69" customHeight="1" spans="1:31">
      <c r="A8" s="39" t="s">
        <v>35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</sheetData>
  <mergeCells count="2">
    <mergeCell ref="A1:AE1"/>
    <mergeCell ref="A8:R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"/>
  <sheetViews>
    <sheetView workbookViewId="0">
      <selection activeCell="K13" sqref="K13"/>
    </sheetView>
  </sheetViews>
  <sheetFormatPr defaultColWidth="9" defaultRowHeight="15.75" outlineLevelRow="7"/>
  <cols>
    <col min="1" max="4" width="9" style="24"/>
    <col min="5" max="6" width="9.375" style="24"/>
    <col min="7" max="9" width="9" style="24"/>
    <col min="10" max="10" width="11.25" style="24"/>
    <col min="11" max="12" width="9" style="24"/>
    <col min="13" max="13" width="14.5" style="24" customWidth="1"/>
    <col min="14" max="14" width="9" style="24"/>
    <col min="15" max="15" width="11.25" style="24"/>
    <col min="16" max="17" width="9" style="24"/>
    <col min="18" max="18" width="18.75" style="24"/>
    <col min="19" max="19" width="13.75" style="24"/>
    <col min="20" max="20" width="10.875" style="24"/>
    <col min="21" max="23" width="9" style="24"/>
    <col min="24" max="24" width="12.625" style="24"/>
    <col min="25" max="25" width="17.75" style="24"/>
    <col min="26" max="26" width="13.75" style="24"/>
    <col min="27" max="16384" width="9" style="24"/>
  </cols>
  <sheetData>
    <row r="1" ht="75" customHeight="1" spans="1:31">
      <c r="A1" s="25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ht="50" customHeight="1" spans="1:31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7" t="s">
        <v>7</v>
      </c>
      <c r="H2" s="27" t="s">
        <v>8</v>
      </c>
      <c r="I2" s="27" t="s">
        <v>9</v>
      </c>
      <c r="J2" s="27" t="s">
        <v>10</v>
      </c>
      <c r="K2" s="27" t="s">
        <v>11</v>
      </c>
      <c r="L2" s="27" t="s">
        <v>12</v>
      </c>
      <c r="M2" s="27" t="s">
        <v>13</v>
      </c>
      <c r="N2" s="27" t="s">
        <v>14</v>
      </c>
      <c r="O2" s="27" t="s">
        <v>15</v>
      </c>
      <c r="P2" s="27" t="s">
        <v>11</v>
      </c>
      <c r="Q2" s="27" t="s">
        <v>12</v>
      </c>
      <c r="R2" s="27" t="s">
        <v>16</v>
      </c>
      <c r="S2" s="27" t="s">
        <v>17</v>
      </c>
      <c r="T2" s="27" t="s">
        <v>18</v>
      </c>
      <c r="U2" s="27" t="s">
        <v>19</v>
      </c>
      <c r="V2" s="27" t="s">
        <v>20</v>
      </c>
      <c r="W2" s="27" t="s">
        <v>21</v>
      </c>
      <c r="X2" s="27" t="s">
        <v>22</v>
      </c>
      <c r="Y2" s="27" t="s">
        <v>23</v>
      </c>
      <c r="Z2" s="27" t="s">
        <v>24</v>
      </c>
      <c r="AA2" s="27" t="s">
        <v>25</v>
      </c>
      <c r="AB2" s="27" t="s">
        <v>26</v>
      </c>
      <c r="AC2" s="27" t="s">
        <v>27</v>
      </c>
      <c r="AD2" s="27" t="s">
        <v>28</v>
      </c>
      <c r="AE2" s="27" t="s">
        <v>29</v>
      </c>
    </row>
    <row r="3" s="23" customFormat="1" ht="77" customHeight="1" spans="1:31">
      <c r="A3" s="28" t="s">
        <v>37</v>
      </c>
      <c r="B3" s="28" t="s">
        <v>38</v>
      </c>
      <c r="C3" s="28" t="s">
        <v>32</v>
      </c>
      <c r="D3" s="29">
        <v>5</v>
      </c>
      <c r="E3" s="29">
        <v>3660</v>
      </c>
      <c r="F3" s="29">
        <v>2440</v>
      </c>
      <c r="G3" s="29">
        <v>33</v>
      </c>
      <c r="H3" s="29">
        <v>6</v>
      </c>
      <c r="I3" s="29">
        <v>198</v>
      </c>
      <c r="J3" s="29">
        <v>17.25</v>
      </c>
      <c r="K3" s="28" t="s">
        <v>39</v>
      </c>
      <c r="L3" s="29">
        <v>280</v>
      </c>
      <c r="M3" s="10">
        <f>E3*F3*I3*J3/1000000+L3</f>
        <v>30781.7812</v>
      </c>
      <c r="N3" s="29">
        <v>198</v>
      </c>
      <c r="O3" s="29">
        <v>16.15</v>
      </c>
      <c r="P3" s="28" t="s">
        <v>33</v>
      </c>
      <c r="Q3" s="29"/>
      <c r="R3" s="10">
        <f>E3*F3*N3*O3/1000000+Q3</f>
        <v>28556.74008</v>
      </c>
      <c r="S3" s="29">
        <v>0</v>
      </c>
      <c r="T3" s="10">
        <f>(D3-S3)*E3*F3*I3/1000000/20/20</f>
        <v>22.10274</v>
      </c>
      <c r="U3" s="29"/>
      <c r="V3" s="29"/>
      <c r="W3" s="31">
        <f>T3*U3+V3</f>
        <v>0</v>
      </c>
      <c r="X3" s="29"/>
      <c r="Y3" s="10">
        <f>R3-M3-W3</f>
        <v>-2225.04112000001</v>
      </c>
      <c r="Z3" s="10">
        <f>R3-(M3/1.075)-W3-X3</f>
        <v>-77.4749897674483</v>
      </c>
      <c r="AA3" s="29"/>
      <c r="AB3" s="22" t="s">
        <v>34</v>
      </c>
      <c r="AC3" s="22" t="s">
        <v>34</v>
      </c>
      <c r="AD3" s="22" t="s">
        <v>34</v>
      </c>
      <c r="AE3" s="22" t="s">
        <v>34</v>
      </c>
    </row>
    <row r="8" ht="66" customHeight="1" spans="1:10">
      <c r="A8" s="30" t="s">
        <v>35</v>
      </c>
      <c r="B8" s="30"/>
      <c r="C8" s="30"/>
      <c r="D8" s="30"/>
      <c r="E8" s="30"/>
      <c r="F8" s="30"/>
      <c r="G8" s="30"/>
      <c r="H8" s="30"/>
      <c r="I8" s="30"/>
      <c r="J8" s="30"/>
    </row>
  </sheetData>
  <mergeCells count="2">
    <mergeCell ref="A1:AE1"/>
    <mergeCell ref="A8:J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"/>
  <sheetViews>
    <sheetView workbookViewId="0">
      <selection activeCell="K14" sqref="K14"/>
    </sheetView>
  </sheetViews>
  <sheetFormatPr defaultColWidth="9" defaultRowHeight="18.75" outlineLevelRow="7"/>
  <cols>
    <col min="1" max="1" width="11.875" style="13" customWidth="1"/>
    <col min="2" max="12" width="9" style="13"/>
    <col min="13" max="13" width="17.375" style="13"/>
    <col min="14" max="17" width="9" style="13"/>
    <col min="18" max="18" width="17.375" style="13"/>
    <col min="19" max="19" width="9" style="13"/>
    <col min="20" max="20" width="11.375" style="13"/>
    <col min="21" max="22" width="9" style="13"/>
    <col min="23" max="23" width="14.5" style="13"/>
    <col min="24" max="24" width="9" style="13"/>
    <col min="25" max="25" width="14.5" style="13"/>
    <col min="26" max="26" width="17.375" style="13"/>
    <col min="27" max="16384" width="9" style="13"/>
  </cols>
  <sheetData>
    <row r="1" ht="94" customHeight="1" spans="1:31">
      <c r="A1" s="14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ht="70" customHeight="1" spans="1:31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11</v>
      </c>
      <c r="Q2" s="16" t="s">
        <v>12</v>
      </c>
      <c r="R2" s="16" t="s">
        <v>16</v>
      </c>
      <c r="S2" s="16" t="s">
        <v>17</v>
      </c>
      <c r="T2" s="16" t="s">
        <v>18</v>
      </c>
      <c r="U2" s="16" t="s">
        <v>19</v>
      </c>
      <c r="V2" s="16" t="s">
        <v>20</v>
      </c>
      <c r="W2" s="16" t="s">
        <v>21</v>
      </c>
      <c r="X2" s="16" t="s">
        <v>22</v>
      </c>
      <c r="Y2" s="16" t="s">
        <v>23</v>
      </c>
      <c r="Z2" s="16" t="s">
        <v>24</v>
      </c>
      <c r="AA2" s="16" t="s">
        <v>25</v>
      </c>
      <c r="AB2" s="16" t="s">
        <v>26</v>
      </c>
      <c r="AC2" s="16" t="s">
        <v>27</v>
      </c>
      <c r="AD2" s="16" t="s">
        <v>28</v>
      </c>
      <c r="AE2" s="16" t="s">
        <v>29</v>
      </c>
    </row>
    <row r="3" s="12" customFormat="1" ht="70" customHeight="1" spans="1:31">
      <c r="A3" s="17" t="s">
        <v>41</v>
      </c>
      <c r="B3" s="17" t="s">
        <v>42</v>
      </c>
      <c r="C3" s="17" t="s">
        <v>32</v>
      </c>
      <c r="D3" s="18">
        <v>5</v>
      </c>
      <c r="E3" s="18">
        <v>3300</v>
      </c>
      <c r="F3" s="18">
        <v>2140</v>
      </c>
      <c r="G3" s="18">
        <v>38</v>
      </c>
      <c r="H3" s="18">
        <v>4</v>
      </c>
      <c r="I3" s="18">
        <v>152</v>
      </c>
      <c r="J3" s="18">
        <v>26.25</v>
      </c>
      <c r="K3" s="17" t="s">
        <v>33</v>
      </c>
      <c r="L3" s="18"/>
      <c r="M3" s="21">
        <f>E3*F3*I3/1000000*J3+L3</f>
        <v>28177.38</v>
      </c>
      <c r="N3" s="18">
        <v>152</v>
      </c>
      <c r="O3" s="18">
        <v>30.45</v>
      </c>
      <c r="P3" s="17" t="s">
        <v>39</v>
      </c>
      <c r="Q3" s="18"/>
      <c r="R3" s="21">
        <f>E3*F3*N3*O3/1000000+Q3</f>
        <v>32685.7608</v>
      </c>
      <c r="S3" s="18">
        <v>0</v>
      </c>
      <c r="T3" s="21">
        <f>(D3-S3)*E3*F3*I3/1000000/20/20</f>
        <v>13.4178</v>
      </c>
      <c r="U3" s="18">
        <v>85</v>
      </c>
      <c r="V3" s="18"/>
      <c r="W3" s="21">
        <f>T3*U3+V3</f>
        <v>1140.513</v>
      </c>
      <c r="X3" s="18"/>
      <c r="Y3" s="21">
        <f>R3-M3-W3</f>
        <v>3367.8678</v>
      </c>
      <c r="Z3" s="21">
        <f>(R3/1.075)-M3-W3-X3</f>
        <v>1087.46588372093</v>
      </c>
      <c r="AA3" s="18"/>
      <c r="AB3" s="22" t="s">
        <v>34</v>
      </c>
      <c r="AC3" s="22" t="s">
        <v>34</v>
      </c>
      <c r="AD3" s="22" t="s">
        <v>34</v>
      </c>
      <c r="AE3" s="22" t="s">
        <v>34</v>
      </c>
    </row>
    <row r="8" s="2" customFormat="1" ht="69" customHeight="1" spans="1:31">
      <c r="A8" s="19" t="s">
        <v>35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</sheetData>
  <mergeCells count="2">
    <mergeCell ref="A1:AE1"/>
    <mergeCell ref="A8:R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"/>
  <sheetViews>
    <sheetView workbookViewId="0">
      <selection activeCell="A1" sqref="A1:AE1"/>
    </sheetView>
  </sheetViews>
  <sheetFormatPr defaultColWidth="9" defaultRowHeight="15.75"/>
  <cols>
    <col min="1" max="12" width="9" style="3"/>
    <col min="13" max="13" width="15.875" style="3"/>
    <col min="14" max="17" width="9" style="3"/>
    <col min="18" max="18" width="15.875" style="3"/>
    <col min="19" max="19" width="9" style="3"/>
    <col min="20" max="20" width="11.75" style="3"/>
    <col min="21" max="22" width="9" style="3"/>
    <col min="23" max="23" width="13.125" style="3"/>
    <col min="24" max="24" width="9" style="3"/>
    <col min="25" max="25" width="14.5" style="3"/>
    <col min="26" max="26" width="15.875" style="3"/>
    <col min="27" max="16384" width="9" style="3"/>
  </cols>
  <sheetData>
    <row r="1" ht="73" customHeight="1" spans="1:31">
      <c r="A1" s="4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53" customHeight="1" spans="1:3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11</v>
      </c>
      <c r="Q2" s="6" t="s">
        <v>12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</row>
    <row r="3" s="1" customFormat="1" ht="70" customHeight="1" spans="1:31">
      <c r="A3" s="6" t="s">
        <v>37</v>
      </c>
      <c r="B3" s="6" t="s">
        <v>38</v>
      </c>
      <c r="C3" s="6" t="s">
        <v>32</v>
      </c>
      <c r="D3" s="7">
        <v>5</v>
      </c>
      <c r="E3" s="7">
        <v>3660</v>
      </c>
      <c r="F3" s="7">
        <v>2740</v>
      </c>
      <c r="G3" s="7">
        <v>32</v>
      </c>
      <c r="H3" s="7">
        <v>14</v>
      </c>
      <c r="I3" s="7">
        <v>448</v>
      </c>
      <c r="J3" s="7">
        <v>17.25</v>
      </c>
      <c r="K3" s="6" t="s">
        <v>39</v>
      </c>
      <c r="L3" s="7">
        <v>280</v>
      </c>
      <c r="M3" s="10">
        <f>E3*F3*I3*J3/1000000+L3</f>
        <v>77779.4752</v>
      </c>
      <c r="N3" s="7">
        <v>448</v>
      </c>
      <c r="O3" s="7">
        <v>19.65</v>
      </c>
      <c r="P3" s="6" t="s">
        <v>39</v>
      </c>
      <c r="Q3" s="7"/>
      <c r="R3" s="10">
        <f>E3*F3*N3*O3/1000000+Q3</f>
        <v>88282.01088</v>
      </c>
      <c r="S3" s="7">
        <v>0</v>
      </c>
      <c r="T3" s="10">
        <f>(D3-S3)*E3*F3*I3/1000000/20/20</f>
        <v>56.15904</v>
      </c>
      <c r="U3" s="7">
        <v>160</v>
      </c>
      <c r="V3" s="7"/>
      <c r="W3" s="10">
        <f>T3*U3+V3</f>
        <v>8985.4464</v>
      </c>
      <c r="X3" s="7"/>
      <c r="Y3" s="10">
        <f>R3-M3-W3</f>
        <v>1517.08928</v>
      </c>
      <c r="Z3" s="10">
        <f>R3-M3-(W3*1.075)-(D3*E3*F3*I3/1000000/20*0.5)</f>
        <v>281.5904</v>
      </c>
      <c r="AA3" s="7"/>
      <c r="AB3" s="7" t="s">
        <v>34</v>
      </c>
      <c r="AC3" s="7" t="s">
        <v>34</v>
      </c>
      <c r="AD3" s="7" t="s">
        <v>34</v>
      </c>
      <c r="AE3" s="7" t="s">
        <v>34</v>
      </c>
    </row>
    <row r="11" s="2" customFormat="1" ht="69" customHeight="1" spans="1:31">
      <c r="A11" s="8" t="s">
        <v>35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</sheetData>
  <mergeCells count="2">
    <mergeCell ref="A1:AE1"/>
    <mergeCell ref="A11:R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是否含税 --(厂家 否) 和（客户 否 ）</vt:lpstr>
      <vt:lpstr>是否含税---（厂家 是）和（客户  否）</vt:lpstr>
      <vt:lpstr>是否含税----（厂家 否 ）和（客户   是）</vt:lpstr>
      <vt:lpstr>是否含税---（厂家 是）和（客户 是）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2024-07-04T02:21:00Z</dcterms:created>
  <dcterms:modified xsi:type="dcterms:W3CDTF">2024-07-05T03:09:35Z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0A3BBEC5BE5241948B92DF3C706692AC_13</vt:lpwstr>
  </property>
  <property fmtid="{D5CDD505-2E9C-101B-9397-08002B2CF9AE}" pid="3" name="KSOProductBuildVer">
    <vt:lpwstr>2052-12.1.0.17133</vt:lpwstr>
  </property>
</Properties>
</file>