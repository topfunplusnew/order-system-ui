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资金总额变动统计2 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<sst xmlns="http://schemas.openxmlformats.org/spreadsheetml/2006/main" count="21" uniqueCount="21">
  <si>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16"/>
        <color rgb="FF666666"/>
        <rFont val="华文楷体"/>
        <charset val="134"/>
      </rPr>
      <t>日期查询：</t>
    </r>
    <r>
      <rPr>
        <b/>
        <u/>
        <sz val="16"/>
        <color rgb="FF666666"/>
        <rFont val="华文楷体"/>
        <charset val="134"/>
      </rPr>
      <t xml:space="preserve">        </t>
    </r>
    <r>
      <rPr>
        <b/>
        <sz val="16"/>
        <color rgb="FF666666"/>
        <rFont val="华文楷体"/>
        <charset val="134"/>
      </rPr>
      <t>年</t>
    </r>
    <r>
      <rPr>
        <b/>
        <u/>
        <sz val="16"/>
        <color rgb="FF666666"/>
        <rFont val="华文楷体"/>
        <charset val="134"/>
      </rPr>
      <t xml:space="preserve">        </t>
    </r>
    <r>
      <rPr>
        <b/>
        <sz val="16"/>
        <color rgb="FF666666"/>
        <rFont val="华文楷体"/>
        <charset val="134"/>
      </rPr>
      <t>月</t>
    </r>
    <r>
      <rPr>
        <b/>
        <u/>
        <sz val="16"/>
        <color rgb="FF666666"/>
        <rFont val="华文楷体"/>
        <charset val="134"/>
      </rPr>
      <t xml:space="preserve">      </t>
    </r>
    <r>
      <rPr>
        <b/>
        <sz val="16"/>
        <color rgb="FF666666"/>
        <rFont val="华文楷体"/>
        <charset val="134"/>
      </rPr>
      <t>日</t>
    </r>
  </si>
  <si>
    <t>资金总额变动统计2</t>
  </si>
  <si>
    <t>科目名称</t>
  </si>
  <si>
    <t>项目</t>
  </si>
  <si>
    <t>上日资金总额</t>
  </si>
  <si>
    <t>当日资金流变动</t>
  </si>
  <si>
    <t>本日资金总额</t>
  </si>
  <si>
    <t>当日资金总额变动情况</t>
  </si>
  <si>
    <t>股东权益</t>
  </si>
  <si>
    <r>
      <t>资金总额（即股东权益）=①+②+③+④+⑤-⑥-⑦-</t>
    </r>
    <r>
      <rPr>
        <b/>
        <sz val="11"/>
        <color rgb="FFFF0000"/>
        <rFont val="Microsoft YaHei"/>
        <charset val="134"/>
      </rPr>
      <t>⑧</t>
    </r>
  </si>
  <si>
    <t>即：等于当日订单系统-------数据统计---订单系统利润（--67000）</t>
  </si>
  <si>
    <t>资产类</t>
  </si>
  <si>
    <t>①应收账款---客户欠款合计数</t>
  </si>
  <si>
    <t>②银行存款---公司所有银行资金合计</t>
  </si>
  <si>
    <t>③保证金----期货保证金</t>
  </si>
  <si>
    <t>④其他应收---个人或公司从我公司借款</t>
  </si>
  <si>
    <r>
      <t>⑤</t>
    </r>
    <r>
      <rPr>
        <b/>
        <sz val="12"/>
        <color rgb="FF666666"/>
        <rFont val="华文楷体"/>
        <charset val="134"/>
      </rPr>
      <t>库存</t>
    </r>
  </si>
  <si>
    <t>负债类</t>
  </si>
  <si>
    <r>
      <t>⑥</t>
    </r>
    <r>
      <rPr>
        <b/>
        <sz val="12"/>
        <color rgb="FF666666"/>
        <rFont val="华文楷体"/>
        <charset val="134"/>
      </rPr>
      <t>应付账款---运费合计</t>
    </r>
  </si>
  <si>
    <r>
      <t>⑦</t>
    </r>
    <r>
      <rPr>
        <b/>
        <sz val="12"/>
        <color rgb="FF666666"/>
        <rFont val="华文楷体"/>
        <charset val="134"/>
      </rPr>
      <t>应付账款---欠厂家货款</t>
    </r>
  </si>
  <si>
    <r>
      <t>⑧</t>
    </r>
    <r>
      <rPr>
        <b/>
        <sz val="12"/>
        <color rgb="FF666666"/>
        <rFont val="华文楷体"/>
        <charset val="134"/>
      </rPr>
      <t>其他应付款---公司从外面借款合计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</si>
</sst>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</numFmts>
  <fonts count="29">
    <font>
      <sz val="11"/>
      <color theme="1"/>
      <name val="宋体"/>
      <charset val="134"/>
      <scheme val="minor"/>
    </font>
    <font>
      <b/>
      <sz val="16"/>
      <color rgb="FF666666"/>
      <name val="华文楷体"/>
      <charset val="134"/>
    </font>
    <font>
      <b/>
      <sz val="11"/>
      <color theme="1"/>
      <name val="华文楷体"/>
      <charset val="134"/>
    </font>
    <font>
      <b/>
      <sz val="20"/>
      <color theme="1"/>
      <name val="华文楷体"/>
      <charset val="134"/>
    </font>
    <font>
      <b/>
      <sz val="12"/>
      <color rgb="FF666666"/>
      <name val="华文楷体"/>
      <charset val="134"/>
    </font>
    <font>
      <b/>
      <sz val="11"/>
      <color rgb="FFFF0000"/>
      <name val="华文楷体"/>
      <charset val="134"/>
    </font>
    <font>
      <b/>
      <sz val="12"/>
      <color rgb="FFFF0000"/>
      <name val="华文楷体"/>
      <charset val="134"/>
    </font>
    <font>
      <b/>
      <sz val="12"/>
      <color rgb="FF66666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color rgb="FF666666"/>
      <name val="华文楷体"/>
      <charset val="134"/>
    </font>
    <font>
      <b/>
      <sz val="11"/>
      <color rgb="FFFF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8" fontId="5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8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6" fontId="4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4"/>
  <sheetViews>
    <sheetView tabSelected="1" workbookViewId="0">
      <selection activeCell="A4" sqref="A4:F4"/>
    </sheetView>
  </sheetViews>
  <sheetFormatPr defaultColWidth="9" defaultRowHeight="13.5" outlineLevelCol="5"/>
  <cols>
    <col min="1" max="1" width="19.875" style="1" customWidth="1"/>
    <col min="2" max="2" width="53.625" style="1" customWidth="1"/>
    <col min="3" max="3" width="38.25" style="1" customWidth="1"/>
    <col min="4" max="4" width="19.75" style="1" customWidth="1"/>
    <col min="5" max="6" width="38.25" style="1" customWidth="1"/>
    <col min="7" max="16383" width="9" style="1"/>
  </cols>
  <sheetData>
    <row r="3" ht="75" customHeight="1" spans="1:6">
      <c r="A3" s="2" t="s">
        <v>0</v>
      </c>
      <c r="B3" s="2"/>
      <c r="C3" s="3"/>
      <c r="D3" s="3"/>
      <c r="E3" s="3"/>
      <c r="F3" s="3"/>
    </row>
    <row r="4" ht="69" customHeight="1" spans="1:6">
      <c r="A4" s="4" t="s">
        <v>1</v>
      </c>
      <c r="B4" s="5"/>
      <c r="C4" s="5"/>
      <c r="D4" s="5"/>
      <c r="E4" s="5"/>
      <c r="F4" s="5"/>
    </row>
    <row r="5" ht="44" customHeight="1" spans="1:6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</row>
    <row r="6" ht="50" customHeight="1" spans="1:6">
      <c r="A6" s="5" t="s">
        <v>8</v>
      </c>
      <c r="B6" s="8" t="s">
        <v>9</v>
      </c>
      <c r="C6" s="9">
        <f>C7+C8+C9+C10+C11-C12-C13-C14</f>
        <v>440000</v>
      </c>
      <c r="D6" s="10" t="s">
        <v>10</v>
      </c>
      <c r="E6" s="9">
        <f>E7+E8+E9+E10+E11-E12-E13-E14</f>
        <v>373000</v>
      </c>
      <c r="F6" s="9">
        <f>F7+F8+F9+F10+F11-F12-F13-F14</f>
        <v>-67000</v>
      </c>
    </row>
    <row r="7" ht="30" customHeight="1" spans="1:6">
      <c r="A7" s="11" t="s">
        <v>11</v>
      </c>
      <c r="B7" s="12" t="s">
        <v>12</v>
      </c>
      <c r="C7" s="13">
        <v>190000</v>
      </c>
      <c r="D7" s="14"/>
      <c r="E7" s="13">
        <v>150000</v>
      </c>
      <c r="F7" s="13">
        <f>E7-C7</f>
        <v>-40000</v>
      </c>
    </row>
    <row r="8" ht="30" customHeight="1" spans="1:6">
      <c r="A8" s="15"/>
      <c r="B8" s="12" t="s">
        <v>13</v>
      </c>
      <c r="C8" s="13">
        <v>210000</v>
      </c>
      <c r="D8" s="14"/>
      <c r="E8" s="13">
        <v>240000</v>
      </c>
      <c r="F8" s="13">
        <f>E8-C8</f>
        <v>30000</v>
      </c>
    </row>
    <row r="9" ht="30" customHeight="1" spans="1:6">
      <c r="A9" s="15"/>
      <c r="B9" s="12" t="s">
        <v>14</v>
      </c>
      <c r="C9" s="13">
        <v>50000</v>
      </c>
      <c r="D9" s="14"/>
      <c r="E9" s="13">
        <v>30000</v>
      </c>
      <c r="F9" s="13">
        <f>E9-C9</f>
        <v>-20000</v>
      </c>
    </row>
    <row r="10" ht="30" customHeight="1" spans="1:6">
      <c r="A10" s="15"/>
      <c r="B10" s="12" t="s">
        <v>15</v>
      </c>
      <c r="C10" s="13">
        <v>15000</v>
      </c>
      <c r="D10" s="14"/>
      <c r="E10" s="13">
        <v>15000</v>
      </c>
      <c r="F10" s="13">
        <f>E10-C10</f>
        <v>0</v>
      </c>
    </row>
    <row r="11" ht="30" customHeight="1" spans="1:6">
      <c r="A11" s="16"/>
      <c r="B11" s="17" t="s">
        <v>16</v>
      </c>
      <c r="C11" s="13">
        <v>60000</v>
      </c>
      <c r="D11" s="14"/>
      <c r="E11" s="13">
        <v>55000</v>
      </c>
      <c r="F11" s="13">
        <f>E11-C11</f>
        <v>-5000</v>
      </c>
    </row>
    <row r="12" ht="30" customHeight="1" spans="1:6">
      <c r="A12" s="5" t="s">
        <v>17</v>
      </c>
      <c r="B12" s="17" t="s">
        <v>18</v>
      </c>
      <c r="C12" s="18">
        <v>5000</v>
      </c>
      <c r="D12" s="14"/>
      <c r="E12" s="18">
        <v>12000</v>
      </c>
      <c r="F12" s="13">
        <f>E12-C12</f>
        <v>7000</v>
      </c>
    </row>
    <row r="13" ht="30" customHeight="1" spans="1:6">
      <c r="A13" s="5"/>
      <c r="B13" s="17" t="s">
        <v>19</v>
      </c>
      <c r="C13" s="18">
        <v>50000</v>
      </c>
      <c r="D13" s="14"/>
      <c r="E13" s="18">
        <v>80000</v>
      </c>
      <c r="F13" s="13">
        <f>E13-C13</f>
        <v>30000</v>
      </c>
    </row>
    <row r="14" ht="30" customHeight="1" spans="1:6">
      <c r="A14" s="5"/>
      <c r="B14" s="17" t="s">
        <v>20</v>
      </c>
      <c r="C14" s="18">
        <v>30000</v>
      </c>
      <c r="D14" s="14"/>
      <c r="E14" s="18">
        <v>25000</v>
      </c>
      <c r="F14" s="13">
        <f>E14-C14</f>
        <v>-5000</v>
      </c>
    </row>
  </sheetData>
  <mergeCells count="6">
    <mergeCell ref="A3:B3"/>
    <mergeCell ref="C3:F3"/>
    <mergeCell ref="A4:F4"/>
    <mergeCell ref="A7:A11"/>
    <mergeCell ref="A12:A14"/>
    <mergeCell ref="D6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资金总额变动统计2 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2024-06-29T05:59:00Z</dcterms:created>
  <dcterms:modified xsi:type="dcterms:W3CDTF">2024-07-12T05:25:09Z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FF12892C0D88442D8662FDC3D8D66745_11</vt:lpwstr>
  </property>
  <property fmtid="{D5CDD505-2E9C-101B-9397-08002B2CF9AE}" pid="3" name="KSOProductBuildVer">
    <vt:lpwstr>2052-12.1.0.17133</vt:lpwstr>
  </property>
</Properties>
</file>