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本日应当利润" sheetId="1" r:id="rId1"/>
    <sheet name="供应商返利台账在系统位置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A17</author>
  </authors>
  <commentList>
    <comment ref="C15" authorId="0">
      <text>
        <r>
          <rPr>
            <b/>
            <sz val="9"/>
            <rFont val="宋体"/>
            <charset val="134"/>
          </rPr>
          <t>A17:</t>
        </r>
        <r>
          <rPr>
            <sz val="9"/>
            <rFont val="宋体"/>
            <charset val="134"/>
          </rPr>
          <t xml:space="preserve">
在订单系统-资金管理-供应商返利</t>
        </r>
      </text>
    </comment>
  </commentList>
</comments>
</file>

<file path=xl/sharedStrings.xml><?xml version="1.0" encoding="utf-8"?>
<sst xmlns="http://schemas.openxmlformats.org/spreadsheetml/2006/main" count="21" uniqueCount="21">
  <si>
    <t>本日应当利润2024-06-02为例</t>
  </si>
  <si>
    <t>项目</t>
  </si>
  <si>
    <t>当日合计</t>
  </si>
  <si>
    <t>本月累计（1-2日）的累积</t>
  </si>
  <si>
    <t>当日订单系统利润</t>
  </si>
  <si>
    <t>加：订单系统玻璃收入</t>
  </si>
  <si>
    <t>减：订单系统玻璃成本</t>
  </si>
  <si>
    <t>减：订单系统应付运费</t>
  </si>
  <si>
    <t>加：订单系统票点收入</t>
  </si>
  <si>
    <t>减：订单系统票点成本</t>
  </si>
  <si>
    <t>减：订单系统管理费用</t>
  </si>
  <si>
    <t>订单系统利润</t>
  </si>
  <si>
    <t>未入账部分（权责发生）</t>
  </si>
  <si>
    <t>①当日应收厂家返利金额</t>
  </si>
  <si>
    <t>②当日应收厂家降价金额</t>
  </si>
  <si>
    <t>③当日应付客户佣金金额</t>
  </si>
  <si>
    <t>④当日票点差额(即厂家含税和客户含税差额，已折合票点）</t>
  </si>
  <si>
    <t>当月未入账金额结余=①+②-③+④</t>
  </si>
  <si>
    <t>已入账部分</t>
  </si>
  <si>
    <t>减去上个月返利在本日入账的金额（订单系统上面供应商返利台账取数）</t>
  </si>
  <si>
    <t>本日应当利润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</si>
</sst>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华文楷体"/>
      <charset val="134"/>
    </font>
    <font>
      <b/>
      <sz val="12"/>
      <color rgb="FF666666"/>
      <name val="华文楷体"/>
      <charset val="134"/>
    </font>
    <font>
      <b/>
      <sz val="10"/>
      <color rgb="FF666666"/>
      <name val="华文楷体"/>
      <charset val="134"/>
    </font>
    <font>
      <b/>
      <sz val="12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176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628650</xdr:colOff>
      <xdr:row>55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87850" cy="9496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7" sqref="B7"/>
    </sheetView>
  </sheetViews>
  <sheetFormatPr defaultColWidth="9" defaultRowHeight="13.5" outlineLevelCol="3"/>
  <cols>
    <col min="1" max="1" width="9" style="1"/>
    <col min="2" max="2" width="40" style="1" customWidth="1"/>
    <col min="3" max="3" width="29.875" style="2" customWidth="1"/>
    <col min="4" max="4" width="24.375" style="2" customWidth="1"/>
    <col min="5" max="5" width="9" style="1"/>
    <col min="6" max="6" width="10.375" style="1"/>
    <col min="7" max="16384" width="9" style="1"/>
  </cols>
  <sheetData>
    <row r="1" ht="21" customHeight="1" spans="1:4">
      <c r="A1" s="3" t="s">
        <v>0</v>
      </c>
      <c r="B1" s="4"/>
      <c r="C1" s="4"/>
      <c r="D1" s="4"/>
    </row>
    <row r="2" ht="24" customHeight="1" spans="1:4">
      <c r="A2" s="4"/>
      <c r="B2" s="5" t="s">
        <v>1</v>
      </c>
      <c r="C2" s="6" t="s">
        <v>2</v>
      </c>
      <c r="D2" s="7" t="s">
        <v>3</v>
      </c>
    </row>
    <row r="3" ht="32" customHeight="1" spans="1:4">
      <c r="A3" s="8" t="s">
        <v>4</v>
      </c>
      <c r="B3" s="9" t="s">
        <v>5</v>
      </c>
      <c r="C3" s="10">
        <v>2543641.9</v>
      </c>
      <c r="D3" s="10">
        <v>4105312.15</v>
      </c>
    </row>
    <row r="4" ht="32" customHeight="1" spans="1:4">
      <c r="A4" s="11"/>
      <c r="B4" s="9" t="s">
        <v>6</v>
      </c>
      <c r="C4" s="10">
        <v>2354089.65</v>
      </c>
      <c r="D4" s="10">
        <v>3864084.8</v>
      </c>
    </row>
    <row r="5" ht="32" customHeight="1" spans="1:4">
      <c r="A5" s="11"/>
      <c r="B5" s="9" t="s">
        <v>7</v>
      </c>
      <c r="C5" s="10">
        <v>137787.03</v>
      </c>
      <c r="D5" s="10">
        <v>196974.07</v>
      </c>
    </row>
    <row r="6" ht="32" customHeight="1" spans="1:4">
      <c r="A6" s="11"/>
      <c r="B6" s="9" t="s">
        <v>8</v>
      </c>
      <c r="C6" s="10">
        <v>30384.37</v>
      </c>
      <c r="D6" s="10">
        <v>42384.37</v>
      </c>
    </row>
    <row r="7" ht="32" customHeight="1" spans="1:4">
      <c r="A7" s="11"/>
      <c r="B7" s="9" t="s">
        <v>9</v>
      </c>
      <c r="C7" s="10">
        <v>4592.07</v>
      </c>
      <c r="D7" s="10">
        <v>4592.07</v>
      </c>
    </row>
    <row r="8" ht="32" customHeight="1" spans="1:4">
      <c r="A8" s="11"/>
      <c r="B8" s="9" t="s">
        <v>10</v>
      </c>
      <c r="C8" s="10">
        <v>9346.53</v>
      </c>
      <c r="D8" s="10">
        <v>129033.32</v>
      </c>
    </row>
    <row r="9" ht="32" customHeight="1" spans="1:4">
      <c r="A9" s="11"/>
      <c r="B9" s="9" t="s">
        <v>11</v>
      </c>
      <c r="C9" s="10">
        <f>C3-C4-C5+C6-C7-C8</f>
        <v>68210.99</v>
      </c>
      <c r="D9" s="10">
        <f>D3-D4-D5+D6-D7-D8</f>
        <v>-46987.7399999999</v>
      </c>
    </row>
    <row r="10" ht="33" customHeight="1" spans="1:4">
      <c r="A10" s="12" t="s">
        <v>12</v>
      </c>
      <c r="B10" s="13" t="s">
        <v>13</v>
      </c>
      <c r="C10" s="14">
        <v>0</v>
      </c>
      <c r="D10" s="14">
        <v>7320.8</v>
      </c>
    </row>
    <row r="11" ht="33" customHeight="1" spans="1:4">
      <c r="A11" s="15"/>
      <c r="B11" s="13" t="s">
        <v>14</v>
      </c>
      <c r="C11" s="14">
        <v>0</v>
      </c>
      <c r="D11" s="14">
        <v>0</v>
      </c>
    </row>
    <row r="12" ht="33" customHeight="1" spans="1:4">
      <c r="A12" s="15"/>
      <c r="B12" s="13" t="s">
        <v>15</v>
      </c>
      <c r="C12" s="14">
        <v>434.02</v>
      </c>
      <c r="D12" s="14">
        <v>5239.99</v>
      </c>
    </row>
    <row r="13" ht="33" customHeight="1" spans="1:4">
      <c r="A13" s="15"/>
      <c r="B13" s="13" t="s">
        <v>16</v>
      </c>
      <c r="C13" s="14">
        <v>-45829.6599999998</v>
      </c>
      <c r="D13" s="14">
        <v>-36030.9099999997</v>
      </c>
    </row>
    <row r="14" ht="33" customHeight="1" spans="1:4">
      <c r="A14" s="16"/>
      <c r="B14" s="17" t="s">
        <v>17</v>
      </c>
      <c r="C14" s="14">
        <f>C10+C11-C12+C13</f>
        <v>-46263.6799999998</v>
      </c>
      <c r="D14" s="14">
        <f>D10+D11-D12+D13</f>
        <v>-33950.0999999997</v>
      </c>
    </row>
    <row r="15" ht="36" customHeight="1" spans="1:4">
      <c r="A15" s="18" t="s">
        <v>18</v>
      </c>
      <c r="B15" s="18" t="s">
        <v>19</v>
      </c>
      <c r="C15" s="19">
        <v>0</v>
      </c>
      <c r="D15" s="19">
        <v>0</v>
      </c>
    </row>
    <row r="16" ht="53" customHeight="1" spans="1:4">
      <c r="A16" s="20" t="s">
        <v>20</v>
      </c>
      <c r="B16" s="21"/>
      <c r="C16" s="22">
        <f>C9+C14-C15</f>
        <v>21947.3100000002</v>
      </c>
      <c r="D16" s="22">
        <f>D9+D14-D15</f>
        <v>-80937.8399999996</v>
      </c>
    </row>
  </sheetData>
  <mergeCells count="4">
    <mergeCell ref="A1:D1"/>
    <mergeCell ref="A16:B16"/>
    <mergeCell ref="A3:A9"/>
    <mergeCell ref="A10:A14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本日应当利润</vt:lpstr>
      <vt:lpstr>供应商返利台账在系统位置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2024-06-29T08:41:34Z</dcterms:created>
  <dcterms:modified xsi:type="dcterms:W3CDTF">2024-06-29T09:33:56Z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4CE7119C5CFB442CB9CC680C08B38915_13</vt:lpwstr>
  </property>
  <property fmtid="{D5CDD505-2E9C-101B-9397-08002B2CF9AE}" pid="3" name="KSOProductBuildVer">
    <vt:lpwstr>2052-12.1.0.17133</vt:lpwstr>
  </property>
</Properties>
</file>