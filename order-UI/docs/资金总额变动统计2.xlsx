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资金总额变动统计2  (2)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<sst xmlns="http://schemas.openxmlformats.org/spreadsheetml/2006/main" count="42" uniqueCount="32">
  <si>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r>
      <rPr>
        <b/>
        <sz val="16"/>
        <color rgb="FF666666"/>
        <rFont val="华文楷体"/>
        <charset val="134"/>
      </rPr>
      <t>日期查询：</t>
    </r>
    <r>
      <rPr>
        <b/>
        <u/>
        <sz val="16"/>
        <color rgb="FF666666"/>
        <rFont val="华文楷体"/>
        <charset val="134"/>
      </rPr>
      <t xml:space="preserve">        </t>
    </r>
    <r>
      <rPr>
        <b/>
        <sz val="16"/>
        <color rgb="FF666666"/>
        <rFont val="华文楷体"/>
        <charset val="134"/>
      </rPr>
      <t>年</t>
    </r>
    <r>
      <rPr>
        <b/>
        <u/>
        <sz val="16"/>
        <color rgb="FF666666"/>
        <rFont val="华文楷体"/>
        <charset val="134"/>
      </rPr>
      <t xml:space="preserve">        </t>
    </r>
    <r>
      <rPr>
        <b/>
        <sz val="16"/>
        <color rgb="FF666666"/>
        <rFont val="华文楷体"/>
        <charset val="134"/>
      </rPr>
      <t>月</t>
    </r>
    <r>
      <rPr>
        <b/>
        <u/>
        <sz val="16"/>
        <color rgb="FF666666"/>
        <rFont val="华文楷体"/>
        <charset val="134"/>
      </rPr>
      <t xml:space="preserve">      </t>
    </r>
    <r>
      <rPr>
        <b/>
        <sz val="16"/>
        <color rgb="FF666666"/>
        <rFont val="华文楷体"/>
        <charset val="134"/>
      </rPr>
      <t>日</t>
    </r>
  </si>
  <si>
    <t>资金总额变动统计2</t>
  </si>
  <si>
    <t>科目名称</t>
  </si>
  <si>
    <t>项目</t>
  </si>
  <si>
    <t>上日资金总额</t>
  </si>
  <si>
    <t>当日资金流变动</t>
  </si>
  <si>
    <t>本日资金总额</t>
  </si>
  <si>
    <t>当日资金总额变动情况</t>
  </si>
  <si>
    <t>股东权益</t>
  </si>
  <si>
    <r>
      <rPr>
        <b/>
        <sz val="11"/>
        <color rgb="FFFF0000"/>
        <rFont val="华文楷体"/>
        <charset val="134"/>
      </rPr>
      <t>资金总额（即股东权益）=①+②+③+④+⑤-⑥-⑦-</t>
    </r>
    <r>
      <rPr>
        <b/>
        <sz val="11"/>
        <color rgb="FFFF0000"/>
        <rFont val="Microsoft YaHei"/>
        <charset val="134"/>
      </rPr>
      <t>⑧</t>
    </r>
  </si>
  <si>
    <t>即：等于当日订单系统-------数据统计---订单系统利润（--67000）</t>
  </si>
  <si>
    <t>资产类</t>
  </si>
  <si>
    <t>①应收账款---客户欠款合计数</t>
  </si>
  <si>
    <t>②银行存款---公司所有银行资金合计</t>
  </si>
  <si>
    <t>③保证金----期货保证金</t>
  </si>
  <si>
    <t>④其他应收---个人或公司从我公司借款</t>
  </si>
  <si>
    <r>
      <rPr>
        <b/>
        <sz val="12"/>
        <color rgb="FF666666"/>
        <rFont val="Microsoft YaHei"/>
        <charset val="134"/>
      </rPr>
      <t>⑤</t>
    </r>
    <r>
      <rPr>
        <b/>
        <sz val="12"/>
        <color rgb="FF666666"/>
        <rFont val="华文楷体"/>
        <charset val="134"/>
      </rPr>
      <t>库存</t>
    </r>
  </si>
  <si>
    <t>负债类</t>
  </si>
  <si>
    <r>
      <rPr>
        <b/>
        <sz val="12"/>
        <color rgb="FF666666"/>
        <rFont val="Microsoft YaHei"/>
        <charset val="134"/>
      </rPr>
      <t>⑥</t>
    </r>
    <r>
      <rPr>
        <b/>
        <sz val="12"/>
        <color rgb="FF666666"/>
        <rFont val="华文楷体"/>
        <charset val="134"/>
      </rPr>
      <t>应付账款---运费合计</t>
    </r>
  </si>
  <si>
    <r>
      <rPr>
        <b/>
        <sz val="12"/>
        <color rgb="FF666666"/>
        <rFont val="Microsoft YaHei"/>
        <charset val="134"/>
      </rPr>
      <t>⑦</t>
    </r>
    <r>
      <rPr>
        <b/>
        <sz val="12"/>
        <color rgb="FF666666"/>
        <rFont val="华文楷体"/>
        <charset val="134"/>
      </rPr>
      <t>应付账款---欠厂家货款</t>
    </r>
  </si>
  <si>
    <r>
      <rPr>
        <b/>
        <sz val="12"/>
        <color rgb="FF666666"/>
        <rFont val="Microsoft YaHei"/>
        <charset val="134"/>
      </rPr>
      <t>⑧</t>
    </r>
    <r>
      <rPr>
        <b/>
        <sz val="12"/>
        <color rgb="FF666666"/>
        <rFont val="华文楷体"/>
        <charset val="134"/>
      </rPr>
      <t>其他应付款---公司从外面借款合计</t>
    </r>
  </si>
  <si>
    <t>select sum(payments) from orderDetail where orderDate&lt;=? and isAdjusted=0 and cancelFlag=0 应付款
select sum( moneyAmount) from receiveMoney  where fundsDate&lt;=? and delFlag=0 and companyType=1 收取的所有客户的资金
select sum(moneyAmount) from BalanceAccounts where companyType='1'and delFlag=0 and addtime&lt;=?
select sum(moneyAmount) from Offsetting  where operateType='收入'and delFlag=0 and addtime&lt;=?</t>
  </si>
  <si>
    <t>select sum(moneyAmount) from receiveMoney  where fundsDate&lt;=? and delFlag=0 所有收款
select sum( moneyAmount) from payment  where fundsDate&lt;=? and delFlag=0 所有付款</t>
  </si>
  <si>
    <t xml:space="preserve">select sum(moneyAmount) from lendMoney  where futuresDate&lt;=? and  futuresMarginCompany IS NOT NULL OR LENGTH(futuresMarginCompany)&gt;0
 </t>
  </si>
  <si>
    <t xml:space="preserve">select sum(moneyAmount) from lendMoney  where futuresDate&lt;=? and  futuresMarginCompany IS NULL OR LENGTH(futuresMarginCompany)=0 and isEnd=0
 </t>
  </si>
  <si>
    <t>select sum(payments*(stockNumber/pieces)) from inventory  where storeDate&lt;=? and delFlag=0</t>
  </si>
  <si>
    <t>select sum(moneyAmount) from orderFreight where storeDate&lt;=? and delFlag=0 and paymentState='已支付'   已付
select sum(freight) from orderDetail where orderDate&lt;=? and isAdjusted=0 and cancelFlag=0  应付</t>
  </si>
  <si>
    <t xml:space="preserve">select sum(paymentFactory) from orderDetail where orderDate&lt;=? and isAdjusted=0 and cancelFlag=0 应付款
select sum( moneyAmount) from payment  where fundsDate&lt;=? and delFlag=0 and payType ='支付货款'select sum(moneyAmount) from select select sum(moneyAmount) from BalanceAccounts where companyType='2'and delFlag=0 and addtime&lt;=?
select sum(moneyAmount) from Offsetting  where operateType='支出'and delFlag=0 and addtime&lt;=?
</t>
  </si>
  <si>
    <t>select sum(moneyAmount) from borrowedMoney where  isend =0</t>
  </si>
  <si>
    <t>借出自己回收</t>
  </si>
  <si>
    <t>贷款还款</t>
  </si>
  <si>
    <t>商业票据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</si>
</sst>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</numFmts>
  <fonts count="29">
    <font>
      <sz val="11"/>
      <color theme="1"/>
      <name val="宋体"/>
      <charset val="134"/>
      <scheme val="minor"/>
    </font>
    <font>
      <b/>
      <sz val="11"/>
      <color theme="1"/>
      <name val="华文楷体"/>
      <charset val="134"/>
    </font>
    <font>
      <b/>
      <sz val="12"/>
      <color rgb="FF666666"/>
      <name val="华文楷体"/>
      <charset val="134"/>
    </font>
    <font>
      <b/>
      <sz val="12"/>
      <color rgb="FF666666"/>
      <name val="Microsoft YaHei"/>
      <charset val="134"/>
    </font>
    <font>
      <b/>
      <sz val="16"/>
      <color rgb="FF666666"/>
      <name val="华文楷体"/>
      <charset val="134"/>
    </font>
    <font>
      <b/>
      <sz val="20"/>
      <color theme="1"/>
      <name val="华文楷体"/>
      <charset val="134"/>
    </font>
    <font>
      <b/>
      <sz val="11"/>
      <color rgb="FFFF0000"/>
      <name val="华文楷体"/>
      <charset val="134"/>
    </font>
    <font>
      <b/>
      <sz val="12"/>
      <color rgb="FFFF0000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6"/>
      <color rgb="FF666666"/>
      <name val="华文楷体"/>
      <charset val="134"/>
    </font>
    <font>
      <b/>
      <sz val="11"/>
      <color rgb="FFFF0000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8" fontId="6" fillId="2" borderId="2" xfId="0" applyNumberFormat="1" applyFont="1" applyFill="1" applyBorder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8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6" fontId="2" fillId="2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4"/>
  <sheetViews>
    <sheetView tabSelected="1" topLeftCell="A4" workbookViewId="0">
      <selection activeCell="B8" sqref="B8"/>
    </sheetView>
  </sheetViews>
  <sheetFormatPr defaultColWidth="9" defaultRowHeight="14.4" outlineLevelCol="5"/>
  <cols>
    <col min="1" max="1" width="19.8796296296296" style="8" customWidth="1"/>
    <col min="2" max="2" width="53.6296296296296" style="8" customWidth="1"/>
    <col min="3" max="3" width="38.25" style="8" customWidth="1"/>
    <col min="4" max="4" width="19.75" style="8" customWidth="1"/>
    <col min="5" max="6" width="38.25" style="8" customWidth="1"/>
    <col min="7" max="16383" width="9" style="8"/>
  </cols>
  <sheetData>
    <row r="3" ht="75" customHeight="1" spans="1:6">
      <c r="A3" s="9" t="s">
        <v>0</v>
      </c>
      <c r="B3" s="9"/>
      <c r="C3" s="10"/>
      <c r="D3" s="10"/>
      <c r="E3" s="10"/>
      <c r="F3" s="10"/>
    </row>
    <row r="4" ht="69" customHeight="1" spans="1:6">
      <c r="A4" s="11" t="s">
        <v>1</v>
      </c>
      <c r="B4" s="7"/>
      <c r="C4" s="7"/>
      <c r="D4" s="7"/>
      <c r="E4" s="7"/>
      <c r="F4" s="7"/>
    </row>
    <row r="5" ht="44" customHeight="1" spans="1:6">
      <c r="A5" s="5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</row>
    <row r="6" ht="50" customHeight="1" spans="1:6">
      <c r="A6" s="7" t="s">
        <v>8</v>
      </c>
      <c r="B6" s="13" t="s">
        <v>9</v>
      </c>
      <c r="C6" s="14">
        <f>C7+C8+C9+C10+C11-C12-C13-C14</f>
        <v>440000</v>
      </c>
      <c r="D6" s="15" t="s">
        <v>10</v>
      </c>
      <c r="E6" s="14">
        <f>E7+E8+E9+E10+E11-E12-E13-E14</f>
        <v>373000</v>
      </c>
      <c r="F6" s="14">
        <f>F7+F8+F9+F10+F11-F12-F13-F14</f>
        <v>-67000</v>
      </c>
    </row>
    <row r="7" ht="30" customHeight="1" spans="1:6">
      <c r="A7" s="1" t="s">
        <v>11</v>
      </c>
      <c r="B7" s="2" t="s">
        <v>12</v>
      </c>
      <c r="C7" s="16">
        <v>190000</v>
      </c>
      <c r="D7" s="17"/>
      <c r="E7" s="16">
        <v>150000</v>
      </c>
      <c r="F7" s="16">
        <f t="shared" ref="F7:F14" si="0">E7-C7</f>
        <v>-40000</v>
      </c>
    </row>
    <row r="8" ht="30" customHeight="1" spans="1:6">
      <c r="A8" s="4"/>
      <c r="B8" s="2" t="s">
        <v>13</v>
      </c>
      <c r="C8" s="16">
        <v>210000</v>
      </c>
      <c r="D8" s="17"/>
      <c r="E8" s="16">
        <v>240000</v>
      </c>
      <c r="F8" s="16">
        <f t="shared" si="0"/>
        <v>30000</v>
      </c>
    </row>
    <row r="9" ht="30" customHeight="1" spans="1:6">
      <c r="A9" s="4"/>
      <c r="B9" s="2" t="s">
        <v>14</v>
      </c>
      <c r="C9" s="16">
        <v>50000</v>
      </c>
      <c r="D9" s="17"/>
      <c r="E9" s="16">
        <v>30000</v>
      </c>
      <c r="F9" s="16">
        <f t="shared" si="0"/>
        <v>-20000</v>
      </c>
    </row>
    <row r="10" ht="30" customHeight="1" spans="1:6">
      <c r="A10" s="4"/>
      <c r="B10" s="2" t="s">
        <v>15</v>
      </c>
      <c r="C10" s="16">
        <v>15000</v>
      </c>
      <c r="D10" s="17"/>
      <c r="E10" s="16">
        <v>15000</v>
      </c>
      <c r="F10" s="16">
        <f t="shared" si="0"/>
        <v>0</v>
      </c>
    </row>
    <row r="11" ht="30" customHeight="1" spans="1:6">
      <c r="A11" s="5"/>
      <c r="B11" s="6" t="s">
        <v>16</v>
      </c>
      <c r="C11" s="16">
        <v>60000</v>
      </c>
      <c r="D11" s="17"/>
      <c r="E11" s="16">
        <v>55000</v>
      </c>
      <c r="F11" s="16">
        <f t="shared" si="0"/>
        <v>-5000</v>
      </c>
    </row>
    <row r="12" ht="30" customHeight="1" spans="1:6">
      <c r="A12" s="7" t="s">
        <v>17</v>
      </c>
      <c r="B12" s="6" t="s">
        <v>18</v>
      </c>
      <c r="C12" s="18">
        <v>5000</v>
      </c>
      <c r="D12" s="17"/>
      <c r="E12" s="18">
        <v>12000</v>
      </c>
      <c r="F12" s="16">
        <f t="shared" si="0"/>
        <v>7000</v>
      </c>
    </row>
    <row r="13" ht="30" customHeight="1" spans="1:6">
      <c r="A13" s="7"/>
      <c r="B13" s="6" t="s">
        <v>19</v>
      </c>
      <c r="C13" s="18">
        <v>50000</v>
      </c>
      <c r="D13" s="17"/>
      <c r="E13" s="18">
        <v>80000</v>
      </c>
      <c r="F13" s="16">
        <f t="shared" si="0"/>
        <v>30000</v>
      </c>
    </row>
    <row r="14" ht="30" customHeight="1" spans="1:6">
      <c r="A14" s="7"/>
      <c r="B14" s="6" t="s">
        <v>20</v>
      </c>
      <c r="C14" s="18">
        <v>30000</v>
      </c>
      <c r="D14" s="17"/>
      <c r="E14" s="18">
        <v>25000</v>
      </c>
      <c r="F14" s="16">
        <f t="shared" si="0"/>
        <v>-5000</v>
      </c>
    </row>
  </sheetData>
  <mergeCells count="6">
    <mergeCell ref="A3:B3"/>
    <mergeCell ref="C3:F3"/>
    <mergeCell ref="A4:F4"/>
    <mergeCell ref="A7:A11"/>
    <mergeCell ref="A12:A14"/>
    <mergeCell ref="D6:D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4" sqref="B14"/>
    </sheetView>
  </sheetViews>
  <sheetFormatPr defaultColWidth="8.88888888888889" defaultRowHeight="14.4" outlineLevelCol="2"/>
  <cols>
    <col min="2" max="2" width="51.2222222222222" customWidth="1"/>
    <col min="3" max="3" width="133.555555555556" customWidth="1"/>
  </cols>
  <sheetData>
    <row r="1" ht="57.6" spans="1:3">
      <c r="A1" s="1" t="s">
        <v>11</v>
      </c>
      <c r="B1" s="2" t="s">
        <v>12</v>
      </c>
      <c r="C1" s="3" t="s">
        <v>21</v>
      </c>
    </row>
    <row r="2" ht="28.8" spans="1:3">
      <c r="A2" s="4"/>
      <c r="B2" s="2" t="s">
        <v>13</v>
      </c>
      <c r="C2" s="3" t="s">
        <v>22</v>
      </c>
    </row>
    <row r="3" ht="28.8" spans="1:3">
      <c r="A3" s="4"/>
      <c r="B3" s="2" t="s">
        <v>14</v>
      </c>
      <c r="C3" s="3" t="s">
        <v>23</v>
      </c>
    </row>
    <row r="4" ht="43.2" spans="1:3">
      <c r="A4" s="4"/>
      <c r="B4" s="2" t="s">
        <v>15</v>
      </c>
      <c r="C4" s="3" t="s">
        <v>24</v>
      </c>
    </row>
    <row r="5" ht="17.4" spans="1:3">
      <c r="A5" s="5"/>
      <c r="B5" s="6" t="s">
        <v>16</v>
      </c>
      <c r="C5" t="s">
        <v>25</v>
      </c>
    </row>
    <row r="6" ht="28.8" spans="1:3">
      <c r="A6" s="7" t="s">
        <v>17</v>
      </c>
      <c r="B6" s="6" t="s">
        <v>18</v>
      </c>
      <c r="C6" s="3" t="s">
        <v>26</v>
      </c>
    </row>
    <row r="7" ht="72" spans="1:3">
      <c r="A7" s="7"/>
      <c r="B7" s="6" t="s">
        <v>19</v>
      </c>
      <c r="C7" s="3" t="s">
        <v>27</v>
      </c>
    </row>
    <row r="8" ht="17.4" spans="1:3">
      <c r="A8" s="7"/>
      <c r="B8" s="6" t="s">
        <v>20</v>
      </c>
      <c r="C8" t="s">
        <v>28</v>
      </c>
    </row>
    <row r="10" spans="2:2">
      <c r="B10" t="s">
        <v>29</v>
      </c>
    </row>
    <row r="11" spans="2:2">
      <c r="B11" t="s">
        <v>30</v>
      </c>
    </row>
    <row r="12" spans="2:2">
      <c r="B12" t="s">
        <v>31</v>
      </c>
    </row>
  </sheetData>
  <mergeCells count="2">
    <mergeCell ref="A1:A5"/>
    <mergeCell ref="A6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资金总额变动统计2 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一乐</cp:lastModifiedBy>
  <dcterms:created xsi:type="dcterms:W3CDTF">2024-06-29T05:59:00Z</dcterms:created>
  <dcterms:modified xsi:type="dcterms:W3CDTF">2024-07-25T11:11:55Z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903BA66BBD494C6CBDDE23EF6389FB66_13</vt:lpwstr>
  </property>
  <property fmtid="{D5CDD505-2E9C-101B-9397-08002B2CF9AE}" pid="3" name="KSOProductBuildVer">
    <vt:lpwstr>2052-12.1.0.16120</vt:lpwstr>
  </property>
</Properties>
</file>